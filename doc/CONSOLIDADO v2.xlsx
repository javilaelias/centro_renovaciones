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consultor_ogti216\Downloads\"/>
    </mc:Choice>
  </mc:AlternateContent>
  <xr:revisionPtr revIDLastSave="0" documentId="13_ncr:1_{DDCF715D-C60C-448E-B5E0-C5D1F6126433}" xr6:coauthVersionLast="47" xr6:coauthVersionMax="47" xr10:uidLastSave="{00000000-0000-0000-0000-000000000000}"/>
  <bookViews>
    <workbookView xWindow="-120" yWindow="-120" windowWidth="29040" windowHeight="15720" activeTab="1" xr2:uid="{9831D51A-6C90-4CFA-B093-C1870FAD4C68}"/>
  </bookViews>
  <sheets>
    <sheet name="Seguimiento OIT" sheetId="1" r:id="rId1"/>
    <sheet name="Control" sheetId="6" r:id="rId2"/>
    <sheet name="CONTRATOS Y OS VIGENTES" sheetId="2" state="hidden" r:id="rId3"/>
    <sheet name="Info Jose" sheetId="8" state="hidden" r:id="rId4"/>
    <sheet name="Seguimiento OIT_Backup" sheetId="7" state="hidden" r:id="rId5"/>
    <sheet name="Catalogo" sheetId="5" state="hidden" r:id="rId6"/>
  </sheets>
  <definedNames>
    <definedName name="_xlnm._FilterDatabase" localSheetId="0" hidden="1">'Seguimiento OIT'!$A$3:$AM$151</definedName>
    <definedName name="_xlnm._FilterDatabase" localSheetId="4" hidden="1">'Seguimiento OIT_Backup'!$A$3:$AK$3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Z28" i="1" l="1"/>
  <c r="AD28" i="1" s="1"/>
  <c r="Z29" i="1"/>
  <c r="Z30" i="1"/>
  <c r="AD30" i="1" s="1"/>
  <c r="Z31" i="1"/>
  <c r="AD31" i="1" s="1"/>
  <c r="Z32" i="1"/>
  <c r="AD32" i="1" s="1"/>
  <c r="Z34" i="1"/>
  <c r="Z35" i="1"/>
  <c r="AD35" i="1" s="1"/>
  <c r="Z36" i="1"/>
  <c r="AD36" i="1" s="1"/>
  <c r="Z37" i="1"/>
  <c r="AD37" i="1" s="1"/>
  <c r="Z38" i="1"/>
  <c r="AD38" i="1" s="1"/>
  <c r="Z39" i="1"/>
  <c r="AD39" i="1" s="1"/>
  <c r="Z40" i="1"/>
  <c r="AD40" i="1" s="1"/>
  <c r="Z44" i="1"/>
  <c r="Z46" i="1"/>
  <c r="AD46" i="1" s="1"/>
  <c r="Z47" i="1"/>
  <c r="AD47" i="1" s="1"/>
  <c r="Z48" i="1"/>
  <c r="AD48" i="1" s="1"/>
  <c r="Z49" i="1"/>
  <c r="AD49" i="1" s="1"/>
  <c r="Z50" i="1"/>
  <c r="AD50" i="1" s="1"/>
  <c r="Z51" i="1"/>
  <c r="Z52" i="1"/>
  <c r="B52" i="1" s="1"/>
  <c r="Z55" i="1"/>
  <c r="Z56" i="1"/>
  <c r="B56" i="1" s="1"/>
  <c r="Z57" i="1"/>
  <c r="AD57" i="1" s="1"/>
  <c r="Z58" i="1"/>
  <c r="Z59" i="1"/>
  <c r="Z61" i="1"/>
  <c r="Z68" i="1"/>
  <c r="Z69" i="1"/>
  <c r="Z70" i="1"/>
  <c r="AD70" i="1" s="1"/>
  <c r="Z71" i="1"/>
  <c r="AD71" i="1" s="1"/>
  <c r="Z72" i="1"/>
  <c r="AD72" i="1" s="1"/>
  <c r="Z82" i="1"/>
  <c r="Z83" i="1"/>
  <c r="AD83" i="1" s="1"/>
  <c r="Z92" i="1"/>
  <c r="AD92" i="1" s="1"/>
  <c r="Z93" i="1"/>
  <c r="AD93" i="1" s="1"/>
  <c r="Z96" i="1"/>
  <c r="AD96" i="1" s="1"/>
  <c r="Z97" i="1"/>
  <c r="AD97" i="1" s="1"/>
  <c r="Z99" i="1"/>
  <c r="AD99" i="1" s="1"/>
  <c r="Z102" i="1"/>
  <c r="AD102" i="1" s="1"/>
  <c r="Z103" i="1"/>
  <c r="AD103" i="1" s="1"/>
  <c r="Z104" i="1"/>
  <c r="AD104" i="1" s="1"/>
  <c r="Z107" i="1"/>
  <c r="AD107" i="1" s="1"/>
  <c r="Z108" i="1"/>
  <c r="Z111" i="1"/>
  <c r="AD111" i="1" s="1"/>
  <c r="Z112" i="1"/>
  <c r="AD112" i="1" s="1"/>
  <c r="Z113" i="1"/>
  <c r="AD113" i="1" s="1"/>
  <c r="Z119" i="1"/>
  <c r="Z120" i="1"/>
  <c r="AD120" i="1" s="1"/>
  <c r="Z121" i="1"/>
  <c r="AD121" i="1" s="1"/>
  <c r="Z122" i="1"/>
  <c r="Z123" i="1"/>
  <c r="AD123" i="1" s="1"/>
  <c r="Z124" i="1"/>
  <c r="Z127" i="1"/>
  <c r="Z128" i="1"/>
  <c r="Z129" i="1"/>
  <c r="AD129" i="1" s="1"/>
  <c r="Z130" i="1"/>
  <c r="AD130" i="1" s="1"/>
  <c r="Z131" i="1"/>
  <c r="Z132" i="1"/>
  <c r="AD132" i="1" s="1"/>
  <c r="Z133" i="1"/>
  <c r="Z134" i="1"/>
  <c r="AD134" i="1" s="1"/>
  <c r="Z135" i="1"/>
  <c r="AD135" i="1" s="1"/>
  <c r="Z136" i="1"/>
  <c r="Z137" i="1"/>
  <c r="AD137" i="1" s="1"/>
  <c r="Z138" i="1"/>
  <c r="Z139" i="1"/>
  <c r="Z140" i="1"/>
  <c r="AD140" i="1" s="1"/>
  <c r="Z141" i="1"/>
  <c r="AD141" i="1" s="1"/>
  <c r="Z142" i="1"/>
  <c r="AD142" i="1" s="1"/>
  <c r="Z143" i="1"/>
  <c r="AD143" i="1" s="1"/>
  <c r="Z144" i="1"/>
  <c r="AD144" i="1" s="1"/>
  <c r="Z145" i="1"/>
  <c r="Z146" i="1"/>
  <c r="AD146" i="1" s="1"/>
  <c r="Z147" i="1"/>
  <c r="Z148" i="1"/>
  <c r="AD148" i="1" s="1"/>
  <c r="Z149" i="1"/>
  <c r="AD149" i="1" s="1"/>
  <c r="Z150" i="1"/>
  <c r="Z151" i="1"/>
  <c r="AD151" i="1" s="1"/>
  <c r="AK5" i="1"/>
  <c r="AL5" i="1"/>
  <c r="AK6" i="1"/>
  <c r="AL6" i="1"/>
  <c r="AK7" i="1"/>
  <c r="AL7" i="1"/>
  <c r="AK8" i="1"/>
  <c r="AL8" i="1"/>
  <c r="AK9" i="1"/>
  <c r="AL9" i="1"/>
  <c r="AK10" i="1"/>
  <c r="AL10" i="1"/>
  <c r="AK11" i="1"/>
  <c r="AL11" i="1"/>
  <c r="AK12" i="1"/>
  <c r="AL12" i="1"/>
  <c r="AK13" i="1"/>
  <c r="AL13" i="1"/>
  <c r="AK14" i="1"/>
  <c r="AL14" i="1"/>
  <c r="AK15" i="1"/>
  <c r="AL15" i="1"/>
  <c r="AK16" i="1"/>
  <c r="AL16" i="1"/>
  <c r="AK17" i="1"/>
  <c r="AL17" i="1"/>
  <c r="AK18" i="1"/>
  <c r="AL18" i="1"/>
  <c r="AK19" i="1"/>
  <c r="AL19" i="1"/>
  <c r="AK20" i="1"/>
  <c r="AL20" i="1"/>
  <c r="AK21" i="1"/>
  <c r="AL21" i="1"/>
  <c r="AK22" i="1"/>
  <c r="AL22" i="1"/>
  <c r="AK23" i="1"/>
  <c r="AL23" i="1"/>
  <c r="AK24" i="1"/>
  <c r="AL24" i="1"/>
  <c r="AK25" i="1"/>
  <c r="AL25" i="1"/>
  <c r="AK26" i="1"/>
  <c r="AL26" i="1"/>
  <c r="AK27" i="1"/>
  <c r="AL27" i="1"/>
  <c r="AK28" i="1"/>
  <c r="AL28" i="1"/>
  <c r="AK29" i="1"/>
  <c r="AL29" i="1"/>
  <c r="AK30" i="1"/>
  <c r="AL30" i="1"/>
  <c r="AK31" i="1"/>
  <c r="AL31" i="1"/>
  <c r="AK32" i="1"/>
  <c r="AL32" i="1"/>
  <c r="AK33" i="1"/>
  <c r="AL33" i="1"/>
  <c r="AK34" i="1"/>
  <c r="AL34" i="1"/>
  <c r="AK35" i="1"/>
  <c r="AL35" i="1"/>
  <c r="AK36" i="1"/>
  <c r="AL36" i="1"/>
  <c r="AK37" i="1"/>
  <c r="AL37" i="1"/>
  <c r="AK38" i="1"/>
  <c r="AL38" i="1"/>
  <c r="AK39" i="1"/>
  <c r="AL39" i="1"/>
  <c r="AK40" i="1"/>
  <c r="AL40" i="1"/>
  <c r="AK41" i="1"/>
  <c r="AL41" i="1"/>
  <c r="AK42" i="1"/>
  <c r="AL42" i="1"/>
  <c r="AK43" i="1"/>
  <c r="AL43" i="1"/>
  <c r="AK44" i="1"/>
  <c r="AL44" i="1"/>
  <c r="AK45" i="1"/>
  <c r="AL45" i="1"/>
  <c r="AK46" i="1"/>
  <c r="AL46" i="1"/>
  <c r="AK47" i="1"/>
  <c r="AL47" i="1"/>
  <c r="AK48" i="1"/>
  <c r="AL48" i="1"/>
  <c r="AK49" i="1"/>
  <c r="AL49" i="1"/>
  <c r="AK50" i="1"/>
  <c r="AL50" i="1"/>
  <c r="AK51" i="1"/>
  <c r="AL51" i="1"/>
  <c r="AK52" i="1"/>
  <c r="AL52" i="1"/>
  <c r="AK53" i="1"/>
  <c r="AL53" i="1"/>
  <c r="AK54" i="1"/>
  <c r="AL54" i="1"/>
  <c r="AK55" i="1"/>
  <c r="AL55" i="1"/>
  <c r="AK56" i="1"/>
  <c r="AL56" i="1"/>
  <c r="AK57" i="1"/>
  <c r="AL57" i="1"/>
  <c r="AK58" i="1"/>
  <c r="AL58" i="1"/>
  <c r="AK59" i="1"/>
  <c r="AL59" i="1"/>
  <c r="AK60" i="1"/>
  <c r="AL60" i="1"/>
  <c r="AK61" i="1"/>
  <c r="AL61" i="1"/>
  <c r="AK62" i="1"/>
  <c r="AL62" i="1"/>
  <c r="AK63" i="1"/>
  <c r="AL63" i="1"/>
  <c r="AK64" i="1"/>
  <c r="AL64" i="1"/>
  <c r="AK65" i="1"/>
  <c r="AL65" i="1"/>
  <c r="AK66" i="1"/>
  <c r="AL66" i="1"/>
  <c r="AK67" i="1"/>
  <c r="AL67" i="1"/>
  <c r="AK68" i="1"/>
  <c r="AL68" i="1"/>
  <c r="AK69" i="1"/>
  <c r="AL69" i="1"/>
  <c r="AK70" i="1"/>
  <c r="AL70" i="1"/>
  <c r="AK71" i="1"/>
  <c r="AL71" i="1"/>
  <c r="AK72" i="1"/>
  <c r="AL72" i="1"/>
  <c r="AK73" i="1"/>
  <c r="AL73" i="1"/>
  <c r="AK74" i="1"/>
  <c r="AL74" i="1"/>
  <c r="AK75" i="1"/>
  <c r="AL75" i="1"/>
  <c r="AK76" i="1"/>
  <c r="AL76" i="1"/>
  <c r="AK77" i="1"/>
  <c r="AL77" i="1"/>
  <c r="AK78" i="1"/>
  <c r="AL78" i="1"/>
  <c r="AK79" i="1"/>
  <c r="AL79" i="1"/>
  <c r="AK80" i="1"/>
  <c r="AL80" i="1"/>
  <c r="AK81" i="1"/>
  <c r="AL81" i="1"/>
  <c r="AK82" i="1"/>
  <c r="AL82" i="1"/>
  <c r="AK83" i="1"/>
  <c r="AL83" i="1"/>
  <c r="AK84" i="1"/>
  <c r="AL84" i="1"/>
  <c r="AK85" i="1"/>
  <c r="AL85" i="1"/>
  <c r="AK86" i="1"/>
  <c r="AL86" i="1"/>
  <c r="AK87" i="1"/>
  <c r="AL87" i="1"/>
  <c r="AK88" i="1"/>
  <c r="AL88" i="1"/>
  <c r="AK89" i="1"/>
  <c r="AL89" i="1"/>
  <c r="AK90" i="1"/>
  <c r="AL90" i="1"/>
  <c r="AK91" i="1"/>
  <c r="AL91" i="1"/>
  <c r="AK92" i="1"/>
  <c r="AL92" i="1"/>
  <c r="AK93" i="1"/>
  <c r="AL93" i="1"/>
  <c r="AK94" i="1"/>
  <c r="AL94" i="1"/>
  <c r="AK95" i="1"/>
  <c r="AL95" i="1"/>
  <c r="AK96" i="1"/>
  <c r="AL96" i="1"/>
  <c r="AK97" i="1"/>
  <c r="AL97" i="1"/>
  <c r="AK98" i="1"/>
  <c r="AL98" i="1"/>
  <c r="AK99" i="1"/>
  <c r="AL99" i="1"/>
  <c r="AK100" i="1"/>
  <c r="AL100" i="1"/>
  <c r="AK101" i="1"/>
  <c r="Z101" i="1" s="1"/>
  <c r="AL101" i="1"/>
  <c r="AK102" i="1"/>
  <c r="AL102" i="1"/>
  <c r="AK103" i="1"/>
  <c r="AL103" i="1"/>
  <c r="AK104" i="1"/>
  <c r="AL104" i="1"/>
  <c r="AK105" i="1"/>
  <c r="AL105" i="1"/>
  <c r="AK106" i="1"/>
  <c r="AL106" i="1"/>
  <c r="AK107" i="1"/>
  <c r="AL107" i="1"/>
  <c r="AK108" i="1"/>
  <c r="AL108" i="1"/>
  <c r="AK109" i="1"/>
  <c r="AL109" i="1"/>
  <c r="AK110" i="1"/>
  <c r="AL110" i="1"/>
  <c r="AK111" i="1"/>
  <c r="AL111" i="1"/>
  <c r="AK112" i="1"/>
  <c r="AL112" i="1"/>
  <c r="AK113" i="1"/>
  <c r="AL113" i="1"/>
  <c r="AK114" i="1"/>
  <c r="AL114" i="1"/>
  <c r="AK115" i="1"/>
  <c r="AL115" i="1"/>
  <c r="AK116" i="1"/>
  <c r="AL116" i="1"/>
  <c r="AK117" i="1"/>
  <c r="AL117" i="1"/>
  <c r="AK118" i="1"/>
  <c r="AL118" i="1"/>
  <c r="AK119" i="1"/>
  <c r="AL119" i="1"/>
  <c r="AK120" i="1"/>
  <c r="AL120" i="1"/>
  <c r="AK121" i="1"/>
  <c r="AL121" i="1"/>
  <c r="AK122" i="1"/>
  <c r="AL122" i="1"/>
  <c r="AK123" i="1"/>
  <c r="AL123" i="1"/>
  <c r="AK124" i="1"/>
  <c r="AL124" i="1"/>
  <c r="AK125" i="1"/>
  <c r="AL125" i="1"/>
  <c r="AK126" i="1"/>
  <c r="AL126" i="1"/>
  <c r="AK127" i="1"/>
  <c r="AL127" i="1"/>
  <c r="AK128" i="1"/>
  <c r="AL128" i="1"/>
  <c r="AK129" i="1"/>
  <c r="AL129" i="1"/>
  <c r="AK130" i="1"/>
  <c r="AL130" i="1"/>
  <c r="AK131" i="1"/>
  <c r="AL131" i="1"/>
  <c r="AK132" i="1"/>
  <c r="AL132" i="1"/>
  <c r="AK133" i="1"/>
  <c r="AL133" i="1"/>
  <c r="AK134" i="1"/>
  <c r="AL134" i="1"/>
  <c r="AK135" i="1"/>
  <c r="AL135" i="1"/>
  <c r="AK136" i="1"/>
  <c r="AL136" i="1"/>
  <c r="AK137" i="1"/>
  <c r="AL137" i="1"/>
  <c r="AK138" i="1"/>
  <c r="AL138" i="1"/>
  <c r="AK139" i="1"/>
  <c r="AL139" i="1"/>
  <c r="AK140" i="1"/>
  <c r="AL140" i="1"/>
  <c r="AK141" i="1"/>
  <c r="AL141" i="1"/>
  <c r="AK142" i="1"/>
  <c r="AL142" i="1"/>
  <c r="AK143" i="1"/>
  <c r="AL143" i="1"/>
  <c r="AK144" i="1"/>
  <c r="AL144" i="1"/>
  <c r="AK145" i="1"/>
  <c r="AL145" i="1"/>
  <c r="AK146" i="1"/>
  <c r="AL146" i="1"/>
  <c r="AK147" i="1"/>
  <c r="AL147" i="1"/>
  <c r="AK148" i="1"/>
  <c r="AL148" i="1"/>
  <c r="AK149" i="1"/>
  <c r="AL149" i="1"/>
  <c r="AK150" i="1"/>
  <c r="AL150" i="1"/>
  <c r="AK151" i="1"/>
  <c r="AL151" i="1"/>
  <c r="AL4" i="1"/>
  <c r="AK4" i="1"/>
  <c r="AI5" i="1"/>
  <c r="AJ5" i="1"/>
  <c r="AI6" i="1"/>
  <c r="AJ6" i="1"/>
  <c r="AI7" i="1"/>
  <c r="AJ7" i="1"/>
  <c r="AI8" i="1"/>
  <c r="AJ8" i="1"/>
  <c r="AI9" i="1"/>
  <c r="AJ9" i="1"/>
  <c r="AI10" i="1"/>
  <c r="AJ10" i="1"/>
  <c r="AI11" i="1"/>
  <c r="AJ11" i="1"/>
  <c r="AI12" i="1"/>
  <c r="AJ12" i="1"/>
  <c r="AI13" i="1"/>
  <c r="AJ13" i="1"/>
  <c r="AI14" i="1"/>
  <c r="AJ14" i="1"/>
  <c r="AI15" i="1"/>
  <c r="AJ15" i="1"/>
  <c r="AI16" i="1"/>
  <c r="AJ16" i="1"/>
  <c r="AI17" i="1"/>
  <c r="AJ17" i="1"/>
  <c r="AI18" i="1"/>
  <c r="AJ18" i="1"/>
  <c r="AI19" i="1"/>
  <c r="AJ19" i="1"/>
  <c r="AI20" i="1"/>
  <c r="AJ20" i="1"/>
  <c r="AI21" i="1"/>
  <c r="AJ21" i="1"/>
  <c r="AI22" i="1"/>
  <c r="AJ22" i="1"/>
  <c r="AI23" i="1"/>
  <c r="AJ23" i="1"/>
  <c r="AI24" i="1"/>
  <c r="AJ24" i="1"/>
  <c r="AI25" i="1"/>
  <c r="AJ25" i="1"/>
  <c r="AI26" i="1"/>
  <c r="AJ26" i="1"/>
  <c r="AI27" i="1"/>
  <c r="AJ27" i="1"/>
  <c r="AI28" i="1"/>
  <c r="AJ28" i="1"/>
  <c r="AI29" i="1"/>
  <c r="AJ29" i="1"/>
  <c r="AI30" i="1"/>
  <c r="AJ30" i="1"/>
  <c r="AI31" i="1"/>
  <c r="AJ31" i="1"/>
  <c r="AI32" i="1"/>
  <c r="AJ32" i="1"/>
  <c r="AI33" i="1"/>
  <c r="AJ33" i="1"/>
  <c r="AI34" i="1"/>
  <c r="AJ34" i="1"/>
  <c r="AI35" i="1"/>
  <c r="AJ35" i="1"/>
  <c r="AI36" i="1"/>
  <c r="AJ36" i="1"/>
  <c r="AI37" i="1"/>
  <c r="AJ37" i="1"/>
  <c r="AI38" i="1"/>
  <c r="AJ38" i="1"/>
  <c r="AI39" i="1"/>
  <c r="AJ39" i="1"/>
  <c r="AI40" i="1"/>
  <c r="AJ40" i="1"/>
  <c r="AI41" i="1"/>
  <c r="AJ41" i="1"/>
  <c r="AI42" i="1"/>
  <c r="AJ42" i="1"/>
  <c r="AI43" i="1"/>
  <c r="AJ43" i="1"/>
  <c r="AI44" i="1"/>
  <c r="AJ44" i="1"/>
  <c r="AI45" i="1"/>
  <c r="AJ45" i="1"/>
  <c r="AI46" i="1"/>
  <c r="AJ46" i="1"/>
  <c r="AI47" i="1"/>
  <c r="AJ47" i="1"/>
  <c r="AI48" i="1"/>
  <c r="AJ48" i="1"/>
  <c r="AI49" i="1"/>
  <c r="AJ49" i="1"/>
  <c r="AI50" i="1"/>
  <c r="AJ50" i="1"/>
  <c r="AI51" i="1"/>
  <c r="AJ51" i="1"/>
  <c r="AI52" i="1"/>
  <c r="AJ52" i="1"/>
  <c r="AI53" i="1"/>
  <c r="AJ53" i="1"/>
  <c r="AI54" i="1"/>
  <c r="AJ54" i="1"/>
  <c r="AI55" i="1"/>
  <c r="AJ55" i="1"/>
  <c r="AI56" i="1"/>
  <c r="AJ56" i="1"/>
  <c r="AI57" i="1"/>
  <c r="AJ57" i="1"/>
  <c r="AI58" i="1"/>
  <c r="AJ58" i="1"/>
  <c r="AI59" i="1"/>
  <c r="AJ59" i="1"/>
  <c r="AI60" i="1"/>
  <c r="AJ60" i="1"/>
  <c r="AI61" i="1"/>
  <c r="AJ61" i="1"/>
  <c r="AI62" i="1"/>
  <c r="AJ62" i="1"/>
  <c r="AI63" i="1"/>
  <c r="AJ63" i="1"/>
  <c r="AI64" i="1"/>
  <c r="AJ64" i="1"/>
  <c r="AI65" i="1"/>
  <c r="AJ65" i="1"/>
  <c r="AI66" i="1"/>
  <c r="AJ66" i="1"/>
  <c r="AI67" i="1"/>
  <c r="AJ67" i="1"/>
  <c r="AI68" i="1"/>
  <c r="AJ68" i="1"/>
  <c r="AI69" i="1"/>
  <c r="AJ69" i="1"/>
  <c r="AI70" i="1"/>
  <c r="AJ70" i="1"/>
  <c r="AI71" i="1"/>
  <c r="AJ71" i="1"/>
  <c r="AI72" i="1"/>
  <c r="AJ72" i="1"/>
  <c r="AI73" i="1"/>
  <c r="AJ73" i="1"/>
  <c r="AI74" i="1"/>
  <c r="AJ74" i="1"/>
  <c r="AI75" i="1"/>
  <c r="AJ75" i="1"/>
  <c r="AI76" i="1"/>
  <c r="AJ76" i="1"/>
  <c r="AI77" i="1"/>
  <c r="AJ77" i="1"/>
  <c r="AI78" i="1"/>
  <c r="AJ78" i="1"/>
  <c r="AI79" i="1"/>
  <c r="AJ79" i="1"/>
  <c r="AI80" i="1"/>
  <c r="AJ80" i="1"/>
  <c r="AI81" i="1"/>
  <c r="AJ81" i="1"/>
  <c r="AI82" i="1"/>
  <c r="AJ82" i="1"/>
  <c r="AI83" i="1"/>
  <c r="AJ83" i="1"/>
  <c r="AI84" i="1"/>
  <c r="AJ84" i="1"/>
  <c r="AI85" i="1"/>
  <c r="AJ85" i="1"/>
  <c r="AI86" i="1"/>
  <c r="AJ86" i="1"/>
  <c r="AI87" i="1"/>
  <c r="AJ87" i="1"/>
  <c r="AI88" i="1"/>
  <c r="AJ88" i="1"/>
  <c r="AI89" i="1"/>
  <c r="AJ89" i="1"/>
  <c r="AI90" i="1"/>
  <c r="AJ90" i="1"/>
  <c r="AI91" i="1"/>
  <c r="AJ91" i="1"/>
  <c r="AI92" i="1"/>
  <c r="AJ92" i="1"/>
  <c r="AI93" i="1"/>
  <c r="AJ93" i="1"/>
  <c r="AI94" i="1"/>
  <c r="AJ94" i="1"/>
  <c r="AI95" i="1"/>
  <c r="AJ95" i="1"/>
  <c r="AI96" i="1"/>
  <c r="AJ96" i="1"/>
  <c r="AI97" i="1"/>
  <c r="AJ97" i="1"/>
  <c r="AI98" i="1"/>
  <c r="AJ98" i="1"/>
  <c r="AI99" i="1"/>
  <c r="AJ99" i="1"/>
  <c r="AI100" i="1"/>
  <c r="AJ100" i="1"/>
  <c r="AI101" i="1"/>
  <c r="AJ101" i="1"/>
  <c r="AI102" i="1"/>
  <c r="AJ102" i="1"/>
  <c r="AI103" i="1"/>
  <c r="AJ103" i="1"/>
  <c r="AI104" i="1"/>
  <c r="AJ104" i="1"/>
  <c r="AI105" i="1"/>
  <c r="AJ105" i="1"/>
  <c r="AI106" i="1"/>
  <c r="AJ106" i="1"/>
  <c r="AI107" i="1"/>
  <c r="AJ107" i="1"/>
  <c r="AI108" i="1"/>
  <c r="AJ108" i="1"/>
  <c r="AI109" i="1"/>
  <c r="AJ109" i="1"/>
  <c r="AI110" i="1"/>
  <c r="AJ110" i="1"/>
  <c r="AI111" i="1"/>
  <c r="AJ111" i="1"/>
  <c r="AI112" i="1"/>
  <c r="AJ112" i="1"/>
  <c r="AI113" i="1"/>
  <c r="AJ113" i="1"/>
  <c r="AI114" i="1"/>
  <c r="AJ114" i="1"/>
  <c r="AI115" i="1"/>
  <c r="AJ115" i="1"/>
  <c r="AI116" i="1"/>
  <c r="AJ116" i="1"/>
  <c r="AI117" i="1"/>
  <c r="AJ117" i="1"/>
  <c r="AI118" i="1"/>
  <c r="AJ118" i="1"/>
  <c r="AI119" i="1"/>
  <c r="AJ119" i="1"/>
  <c r="AI120" i="1"/>
  <c r="AJ120" i="1"/>
  <c r="AI121" i="1"/>
  <c r="AJ121" i="1"/>
  <c r="AI122" i="1"/>
  <c r="AJ122" i="1"/>
  <c r="AI123" i="1"/>
  <c r="AJ123" i="1"/>
  <c r="AI124" i="1"/>
  <c r="AJ124" i="1"/>
  <c r="AI125" i="1"/>
  <c r="AJ125" i="1"/>
  <c r="AI126" i="1"/>
  <c r="AJ126" i="1"/>
  <c r="AI127" i="1"/>
  <c r="AJ127" i="1"/>
  <c r="AI128" i="1"/>
  <c r="AJ128" i="1"/>
  <c r="AI129" i="1"/>
  <c r="AJ129" i="1"/>
  <c r="AI130" i="1"/>
  <c r="AJ130" i="1"/>
  <c r="AI131" i="1"/>
  <c r="AJ131" i="1"/>
  <c r="AI132" i="1"/>
  <c r="AJ132" i="1"/>
  <c r="AI133" i="1"/>
  <c r="AJ133" i="1"/>
  <c r="AI134" i="1"/>
  <c r="AJ134" i="1"/>
  <c r="AI135" i="1"/>
  <c r="AJ135" i="1"/>
  <c r="AI136" i="1"/>
  <c r="AJ136" i="1"/>
  <c r="AI137" i="1"/>
  <c r="AJ137" i="1"/>
  <c r="AI138" i="1"/>
  <c r="AJ138" i="1"/>
  <c r="AI139" i="1"/>
  <c r="AJ139" i="1"/>
  <c r="AI140" i="1"/>
  <c r="AJ140" i="1"/>
  <c r="AI141" i="1"/>
  <c r="AJ141" i="1"/>
  <c r="AI142" i="1"/>
  <c r="AJ142" i="1"/>
  <c r="AI143" i="1"/>
  <c r="AJ143" i="1"/>
  <c r="AI144" i="1"/>
  <c r="AJ144" i="1"/>
  <c r="AI145" i="1"/>
  <c r="AJ145" i="1"/>
  <c r="AI146" i="1"/>
  <c r="AJ146" i="1"/>
  <c r="AI147" i="1"/>
  <c r="AJ147" i="1"/>
  <c r="AI148" i="1"/>
  <c r="AJ148" i="1"/>
  <c r="AI149" i="1"/>
  <c r="AJ149" i="1"/>
  <c r="AI150" i="1"/>
  <c r="AJ150" i="1"/>
  <c r="AI151" i="1"/>
  <c r="AJ151" i="1"/>
  <c r="AJ4" i="1"/>
  <c r="AI4" i="1"/>
  <c r="T31" i="1"/>
  <c r="AC101" i="1"/>
  <c r="T101" i="1"/>
  <c r="T100" i="1"/>
  <c r="T150" i="1"/>
  <c r="T5" i="1"/>
  <c r="T6" i="1"/>
  <c r="T7" i="1"/>
  <c r="T8" i="1"/>
  <c r="T9" i="1"/>
  <c r="T10" i="1"/>
  <c r="T11" i="1"/>
  <c r="T12" i="1"/>
  <c r="T13" i="1"/>
  <c r="T14" i="1"/>
  <c r="T15" i="1"/>
  <c r="T16" i="1"/>
  <c r="T17" i="1"/>
  <c r="T18" i="1"/>
  <c r="T19" i="1"/>
  <c r="T20" i="1"/>
  <c r="T21" i="1"/>
  <c r="T22" i="1"/>
  <c r="T23" i="1"/>
  <c r="T24" i="1"/>
  <c r="T25" i="1"/>
  <c r="T26" i="1"/>
  <c r="T27" i="1"/>
  <c r="T28" i="1"/>
  <c r="T29" i="1"/>
  <c r="T30"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1" i="1"/>
  <c r="T4" i="1"/>
  <c r="AC123" i="1"/>
  <c r="AC124" i="1"/>
  <c r="AC125" i="1"/>
  <c r="Z125" i="1" s="1"/>
  <c r="B125" i="1" s="1"/>
  <c r="AC126" i="1"/>
  <c r="Z126" i="1" s="1"/>
  <c r="B126" i="1" s="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20" i="1"/>
  <c r="AC121" i="1"/>
  <c r="AC122" i="1"/>
  <c r="AC119" i="1"/>
  <c r="AC118" i="1"/>
  <c r="AC60" i="1"/>
  <c r="Z60" i="1" s="1"/>
  <c r="B60" i="1" s="1"/>
  <c r="AC111" i="1"/>
  <c r="AC110" i="1"/>
  <c r="AC109" i="1"/>
  <c r="Z109" i="1" s="1"/>
  <c r="B109" i="1" s="1"/>
  <c r="AC108" i="1"/>
  <c r="AC107" i="1"/>
  <c r="AC106" i="1"/>
  <c r="Z106" i="1" s="1"/>
  <c r="B106" i="1" s="1"/>
  <c r="AC105" i="1"/>
  <c r="AC104" i="1"/>
  <c r="AC103" i="1"/>
  <c r="AC102" i="1"/>
  <c r="AC100" i="1"/>
  <c r="AC99" i="1"/>
  <c r="AC98" i="1"/>
  <c r="AC97" i="1"/>
  <c r="AC96" i="1"/>
  <c r="AC95" i="1"/>
  <c r="AC94" i="1"/>
  <c r="AC93" i="1"/>
  <c r="AC92" i="1"/>
  <c r="AC91" i="1"/>
  <c r="AC90" i="1"/>
  <c r="AC89" i="1"/>
  <c r="AC88" i="1"/>
  <c r="AC87" i="1"/>
  <c r="AC86" i="1"/>
  <c r="AC85" i="1"/>
  <c r="AC84" i="1"/>
  <c r="AC83" i="1"/>
  <c r="AC82" i="1"/>
  <c r="AC81" i="1"/>
  <c r="AC80" i="1"/>
  <c r="AC79" i="1"/>
  <c r="Z79" i="1" s="1"/>
  <c r="B79" i="1" s="1"/>
  <c r="AC78" i="1"/>
  <c r="Z78" i="1" s="1"/>
  <c r="B78" i="1" s="1"/>
  <c r="AC77" i="1"/>
  <c r="AC76" i="1"/>
  <c r="AC75" i="1"/>
  <c r="AC74" i="1"/>
  <c r="AC73" i="1"/>
  <c r="AC117" i="1"/>
  <c r="AC116" i="1"/>
  <c r="AC115" i="1"/>
  <c r="AC114" i="1"/>
  <c r="Z114" i="1" s="1"/>
  <c r="B114" i="1" s="1"/>
  <c r="AC113" i="1"/>
  <c r="AC112" i="1"/>
  <c r="AC4" i="7"/>
  <c r="AJ91" i="7"/>
  <c r="AF91" i="7"/>
  <c r="AE91" i="7"/>
  <c r="AD91" i="7"/>
  <c r="AC91" i="7"/>
  <c r="T91" i="7"/>
  <c r="S91" i="7"/>
  <c r="AJ90" i="7"/>
  <c r="AF90" i="7"/>
  <c r="AE90" i="7"/>
  <c r="AD90" i="7"/>
  <c r="AC90" i="7"/>
  <c r="T90" i="7"/>
  <c r="S90" i="7"/>
  <c r="AJ89" i="7"/>
  <c r="AF89" i="7"/>
  <c r="AE89" i="7"/>
  <c r="AD89" i="7"/>
  <c r="AC89" i="7"/>
  <c r="T89" i="7"/>
  <c r="S89" i="7"/>
  <c r="AJ88" i="7"/>
  <c r="AF88" i="7"/>
  <c r="AE88" i="7"/>
  <c r="AD88" i="7"/>
  <c r="AC88" i="7"/>
  <c r="T88" i="7"/>
  <c r="S88" i="7"/>
  <c r="AJ87" i="7"/>
  <c r="AF87" i="7"/>
  <c r="AE87" i="7"/>
  <c r="AD87" i="7"/>
  <c r="AC87" i="7"/>
  <c r="T87" i="7"/>
  <c r="S87" i="7"/>
  <c r="AJ86" i="7"/>
  <c r="AF86" i="7"/>
  <c r="AE86" i="7"/>
  <c r="AD86" i="7"/>
  <c r="AC86" i="7"/>
  <c r="T86" i="7"/>
  <c r="S86" i="7"/>
  <c r="AJ85" i="7"/>
  <c r="AF85" i="7"/>
  <c r="AE85" i="7"/>
  <c r="AD85" i="7"/>
  <c r="AC85" i="7"/>
  <c r="T85" i="7"/>
  <c r="S85" i="7"/>
  <c r="AJ84" i="7"/>
  <c r="AF84" i="7"/>
  <c r="AE84" i="7"/>
  <c r="AD84" i="7"/>
  <c r="AC84" i="7"/>
  <c r="T84" i="7"/>
  <c r="S84" i="7"/>
  <c r="AJ83" i="7"/>
  <c r="AF83" i="7"/>
  <c r="AE83" i="7"/>
  <c r="AD83" i="7"/>
  <c r="AC83" i="7"/>
  <c r="T83" i="7"/>
  <c r="S83" i="7"/>
  <c r="AJ82" i="7"/>
  <c r="AF82" i="7"/>
  <c r="AE82" i="7"/>
  <c r="AD82" i="7"/>
  <c r="AC82" i="7"/>
  <c r="T82" i="7"/>
  <c r="S82" i="7"/>
  <c r="AJ81" i="7"/>
  <c r="AF81" i="7"/>
  <c r="AE81" i="7"/>
  <c r="AD81" i="7"/>
  <c r="AC81" i="7"/>
  <c r="T81" i="7"/>
  <c r="S81" i="7"/>
  <c r="AJ80" i="7"/>
  <c r="AF80" i="7"/>
  <c r="AE80" i="7"/>
  <c r="AD80" i="7"/>
  <c r="AC80" i="7"/>
  <c r="T80" i="7"/>
  <c r="S80" i="7"/>
  <c r="AJ79" i="7"/>
  <c r="AF79" i="7"/>
  <c r="AE79" i="7"/>
  <c r="AD79" i="7"/>
  <c r="AC79" i="7"/>
  <c r="T79" i="7"/>
  <c r="S79" i="7"/>
  <c r="AJ78" i="7"/>
  <c r="AF78" i="7"/>
  <c r="AE78" i="7"/>
  <c r="AD78" i="7"/>
  <c r="AC78" i="7"/>
  <c r="T78" i="7"/>
  <c r="S78" i="7"/>
  <c r="AJ77" i="7"/>
  <c r="AF77" i="7"/>
  <c r="AE77" i="7"/>
  <c r="AD77" i="7"/>
  <c r="AC77" i="7"/>
  <c r="T77" i="7"/>
  <c r="S77" i="7"/>
  <c r="AJ76" i="7"/>
  <c r="AF76" i="7"/>
  <c r="AE76" i="7"/>
  <c r="AD76" i="7"/>
  <c r="AC76" i="7"/>
  <c r="T76" i="7"/>
  <c r="S76" i="7"/>
  <c r="AJ75" i="7"/>
  <c r="AF75" i="7"/>
  <c r="AE75" i="7"/>
  <c r="AD75" i="7"/>
  <c r="AC75" i="7"/>
  <c r="T75" i="7"/>
  <c r="S75" i="7"/>
  <c r="AJ74" i="7"/>
  <c r="AF74" i="7"/>
  <c r="AE74" i="7"/>
  <c r="AD74" i="7"/>
  <c r="AC74" i="7"/>
  <c r="T74" i="7"/>
  <c r="S74" i="7"/>
  <c r="AJ73" i="7"/>
  <c r="AF73" i="7"/>
  <c r="AE73" i="7"/>
  <c r="AD73" i="7"/>
  <c r="AC73" i="7"/>
  <c r="T73" i="7"/>
  <c r="S73" i="7"/>
  <c r="AJ72" i="7"/>
  <c r="AF72" i="7"/>
  <c r="AE72" i="7"/>
  <c r="AD72" i="7"/>
  <c r="AC72" i="7"/>
  <c r="T72" i="7"/>
  <c r="S72" i="7"/>
  <c r="AJ71" i="7"/>
  <c r="AF71" i="7"/>
  <c r="AE71" i="7"/>
  <c r="AD71" i="7"/>
  <c r="AC71" i="7"/>
  <c r="T71" i="7"/>
  <c r="S71" i="7"/>
  <c r="AJ70" i="7"/>
  <c r="AF70" i="7"/>
  <c r="AE70" i="7"/>
  <c r="AD70" i="7"/>
  <c r="AC70" i="7"/>
  <c r="T70" i="7"/>
  <c r="S70" i="7"/>
  <c r="AJ69" i="7"/>
  <c r="AF69" i="7"/>
  <c r="AE69" i="7"/>
  <c r="AD69" i="7"/>
  <c r="AC69" i="7"/>
  <c r="T69" i="7"/>
  <c r="S69" i="7"/>
  <c r="AJ68" i="7"/>
  <c r="AF68" i="7"/>
  <c r="AE68" i="7"/>
  <c r="AD68" i="7"/>
  <c r="AC68" i="7"/>
  <c r="T68" i="7"/>
  <c r="S68" i="7"/>
  <c r="AJ67" i="7"/>
  <c r="AF67" i="7"/>
  <c r="AE67" i="7"/>
  <c r="AD67" i="7"/>
  <c r="AC67" i="7"/>
  <c r="T67" i="7"/>
  <c r="S67" i="7"/>
  <c r="AJ66" i="7"/>
  <c r="AF66" i="7"/>
  <c r="AE66" i="7"/>
  <c r="AD66" i="7"/>
  <c r="AC66" i="7"/>
  <c r="T66" i="7"/>
  <c r="S66" i="7"/>
  <c r="AJ65" i="7"/>
  <c r="AF65" i="7"/>
  <c r="AE65" i="7"/>
  <c r="AD65" i="7"/>
  <c r="AC65" i="7"/>
  <c r="T65" i="7"/>
  <c r="S65" i="7"/>
  <c r="AJ64" i="7"/>
  <c r="AF64" i="7"/>
  <c r="AE64" i="7"/>
  <c r="AD64" i="7"/>
  <c r="AC64" i="7"/>
  <c r="T64" i="7"/>
  <c r="S64" i="7"/>
  <c r="AJ63" i="7"/>
  <c r="AF63" i="7"/>
  <c r="AE63" i="7"/>
  <c r="AD63" i="7"/>
  <c r="AC63" i="7"/>
  <c r="T63" i="7"/>
  <c r="S63" i="7"/>
  <c r="AJ62" i="7"/>
  <c r="AF62" i="7"/>
  <c r="AE62" i="7"/>
  <c r="AD62" i="7"/>
  <c r="AC62" i="7"/>
  <c r="T62" i="7"/>
  <c r="S62" i="7"/>
  <c r="AJ61" i="7"/>
  <c r="AF61" i="7"/>
  <c r="AE61" i="7"/>
  <c r="AD61" i="7"/>
  <c r="AC61" i="7"/>
  <c r="T61" i="7"/>
  <c r="S61" i="7"/>
  <c r="AJ60" i="7"/>
  <c r="AF60" i="7"/>
  <c r="AE60" i="7"/>
  <c r="AD60" i="7"/>
  <c r="AC60" i="7"/>
  <c r="T60" i="7"/>
  <c r="S60" i="7"/>
  <c r="AJ59" i="7"/>
  <c r="AF59" i="7"/>
  <c r="AE59" i="7"/>
  <c r="AD59" i="7"/>
  <c r="AC59" i="7"/>
  <c r="T59" i="7"/>
  <c r="S59" i="7"/>
  <c r="AJ58" i="7"/>
  <c r="AF58" i="7"/>
  <c r="AE58" i="7"/>
  <c r="AD58" i="7"/>
  <c r="AC58" i="7"/>
  <c r="T58" i="7"/>
  <c r="S58" i="7"/>
  <c r="AJ57" i="7"/>
  <c r="AF57" i="7"/>
  <c r="AE57" i="7"/>
  <c r="AD57" i="7"/>
  <c r="AC57" i="7"/>
  <c r="T57" i="7"/>
  <c r="S57" i="7"/>
  <c r="AJ56" i="7"/>
  <c r="AF56" i="7"/>
  <c r="AE56" i="7"/>
  <c r="AD56" i="7"/>
  <c r="AC56" i="7"/>
  <c r="T56" i="7"/>
  <c r="S56" i="7"/>
  <c r="AJ55" i="7"/>
  <c r="AF55" i="7"/>
  <c r="AE55" i="7"/>
  <c r="AD55" i="7"/>
  <c r="AC55" i="7"/>
  <c r="T55" i="7"/>
  <c r="S55" i="7"/>
  <c r="AJ54" i="7"/>
  <c r="AF54" i="7"/>
  <c r="AE54" i="7"/>
  <c r="AD54" i="7"/>
  <c r="AC54" i="7"/>
  <c r="T54" i="7"/>
  <c r="S54" i="7"/>
  <c r="AJ53" i="7"/>
  <c r="AF53" i="7"/>
  <c r="AE53" i="7"/>
  <c r="AD53" i="7"/>
  <c r="AC53" i="7"/>
  <c r="T53" i="7"/>
  <c r="S53" i="7"/>
  <c r="AJ52" i="7"/>
  <c r="AF52" i="7"/>
  <c r="AE52" i="7"/>
  <c r="AD52" i="7"/>
  <c r="AC52" i="7"/>
  <c r="T52" i="7"/>
  <c r="S52" i="7"/>
  <c r="AJ51" i="7"/>
  <c r="AF51" i="7"/>
  <c r="AE51" i="7"/>
  <c r="AD51" i="7"/>
  <c r="AC51" i="7"/>
  <c r="T51" i="7"/>
  <c r="S51" i="7"/>
  <c r="AJ50" i="7"/>
  <c r="AF50" i="7"/>
  <c r="AE50" i="7"/>
  <c r="AD50" i="7"/>
  <c r="AC50" i="7"/>
  <c r="T50" i="7"/>
  <c r="S50" i="7"/>
  <c r="AJ49" i="7"/>
  <c r="AF49" i="7"/>
  <c r="AE49" i="7"/>
  <c r="AD49" i="7"/>
  <c r="AC49" i="7"/>
  <c r="T49" i="7"/>
  <c r="S49" i="7"/>
  <c r="AJ48" i="7"/>
  <c r="AF48" i="7"/>
  <c r="AE48" i="7"/>
  <c r="AD48" i="7"/>
  <c r="AC48" i="7"/>
  <c r="T48" i="7"/>
  <c r="S48" i="7"/>
  <c r="AJ47" i="7"/>
  <c r="AF47" i="7"/>
  <c r="AE47" i="7"/>
  <c r="AD47" i="7"/>
  <c r="AC47" i="7"/>
  <c r="T47" i="7"/>
  <c r="S47" i="7"/>
  <c r="AJ46" i="7"/>
  <c r="AF46" i="7"/>
  <c r="AE46" i="7"/>
  <c r="AD46" i="7"/>
  <c r="AC46" i="7"/>
  <c r="T46" i="7"/>
  <c r="S46" i="7"/>
  <c r="AJ45" i="7"/>
  <c r="AF45" i="7"/>
  <c r="AE45" i="7"/>
  <c r="AD45" i="7"/>
  <c r="AC45" i="7"/>
  <c r="T45" i="7"/>
  <c r="S45" i="7"/>
  <c r="AJ44" i="7"/>
  <c r="AF44" i="7"/>
  <c r="AE44" i="7"/>
  <c r="AD44" i="7"/>
  <c r="AC44" i="7"/>
  <c r="T44" i="7"/>
  <c r="S44" i="7"/>
  <c r="AJ43" i="7"/>
  <c r="AF43" i="7"/>
  <c r="AE43" i="7"/>
  <c r="AD43" i="7"/>
  <c r="AC43" i="7"/>
  <c r="T43" i="7"/>
  <c r="S43" i="7"/>
  <c r="AJ42" i="7"/>
  <c r="AC42" i="7" s="1"/>
  <c r="AF42" i="7"/>
  <c r="AE42" i="7"/>
  <c r="AD42" i="7"/>
  <c r="T42" i="7"/>
  <c r="S42" i="7"/>
  <c r="AJ41" i="7"/>
  <c r="AF41" i="7"/>
  <c r="AE41" i="7"/>
  <c r="AD41" i="7"/>
  <c r="AC41" i="7"/>
  <c r="T41" i="7"/>
  <c r="S41" i="7"/>
  <c r="AJ40" i="7"/>
  <c r="AF40" i="7"/>
  <c r="AE40" i="7"/>
  <c r="AD40" i="7"/>
  <c r="AC40" i="7"/>
  <c r="T40" i="7"/>
  <c r="S40" i="7"/>
  <c r="AJ39" i="7"/>
  <c r="AF39" i="7"/>
  <c r="AE39" i="7"/>
  <c r="AD39" i="7"/>
  <c r="AC39" i="7"/>
  <c r="T39" i="7"/>
  <c r="S39" i="7"/>
  <c r="AJ38" i="7"/>
  <c r="AF38" i="7"/>
  <c r="AE38" i="7"/>
  <c r="AD38" i="7"/>
  <c r="AC38" i="7"/>
  <c r="T38" i="7"/>
  <c r="S38" i="7"/>
  <c r="AJ37" i="7"/>
  <c r="AF37" i="7"/>
  <c r="AE37" i="7"/>
  <c r="AD37" i="7"/>
  <c r="AC37" i="7"/>
  <c r="T37" i="7"/>
  <c r="S37" i="7"/>
  <c r="AJ36" i="7"/>
  <c r="AF36" i="7"/>
  <c r="AE36" i="7"/>
  <c r="AD36" i="7"/>
  <c r="AC36" i="7"/>
  <c r="T36" i="7"/>
  <c r="S36" i="7"/>
  <c r="AJ35" i="7"/>
  <c r="AF35" i="7"/>
  <c r="AE35" i="7"/>
  <c r="AD35" i="7"/>
  <c r="AC35" i="7"/>
  <c r="T35" i="7"/>
  <c r="S35" i="7"/>
  <c r="AJ34" i="7"/>
  <c r="AF34" i="7"/>
  <c r="AE34" i="7"/>
  <c r="AD34" i="7"/>
  <c r="AC34" i="7"/>
  <c r="T34" i="7"/>
  <c r="S34" i="7"/>
  <c r="AJ33" i="7"/>
  <c r="AF33" i="7"/>
  <c r="AE33" i="7"/>
  <c r="AD33" i="7"/>
  <c r="AC33" i="7"/>
  <c r="T33" i="7"/>
  <c r="S33" i="7"/>
  <c r="AJ32" i="7"/>
  <c r="AF32" i="7"/>
  <c r="AE32" i="7"/>
  <c r="AD32" i="7"/>
  <c r="AC32" i="7"/>
  <c r="T32" i="7"/>
  <c r="S32" i="7"/>
  <c r="AJ31" i="7"/>
  <c r="AF31" i="7"/>
  <c r="AE31" i="7"/>
  <c r="AD31" i="7"/>
  <c r="AC31" i="7"/>
  <c r="T31" i="7"/>
  <c r="S31" i="7"/>
  <c r="AJ30" i="7"/>
  <c r="AF30" i="7"/>
  <c r="AE30" i="7"/>
  <c r="AD30" i="7"/>
  <c r="AC30" i="7"/>
  <c r="T30" i="7"/>
  <c r="S30" i="7"/>
  <c r="AJ29" i="7"/>
  <c r="AF29" i="7"/>
  <c r="AE29" i="7"/>
  <c r="AD29" i="7"/>
  <c r="AC29" i="7"/>
  <c r="T29" i="7"/>
  <c r="S29" i="7"/>
  <c r="AJ28" i="7"/>
  <c r="AF28" i="7"/>
  <c r="AE28" i="7"/>
  <c r="AD28" i="7"/>
  <c r="AC28" i="7"/>
  <c r="T28" i="7"/>
  <c r="S28" i="7"/>
  <c r="AJ27" i="7"/>
  <c r="AF27" i="7"/>
  <c r="AE27" i="7"/>
  <c r="AD27" i="7"/>
  <c r="AC27" i="7"/>
  <c r="T27" i="7"/>
  <c r="S27" i="7"/>
  <c r="AJ26" i="7"/>
  <c r="AF26" i="7"/>
  <c r="AE26" i="7"/>
  <c r="AD26" i="7"/>
  <c r="AC26" i="7"/>
  <c r="T26" i="7"/>
  <c r="S26" i="7"/>
  <c r="AJ25" i="7"/>
  <c r="AF25" i="7"/>
  <c r="AE25" i="7"/>
  <c r="AD25" i="7"/>
  <c r="AC25" i="7"/>
  <c r="T25" i="7"/>
  <c r="S25" i="7"/>
  <c r="AJ24" i="7"/>
  <c r="AC24" i="7" s="1"/>
  <c r="AF24" i="7"/>
  <c r="AE24" i="7"/>
  <c r="AD24" i="7"/>
  <c r="T24" i="7"/>
  <c r="S24" i="7"/>
  <c r="AJ23" i="7"/>
  <c r="AF23" i="7"/>
  <c r="AE23" i="7"/>
  <c r="AD23" i="7"/>
  <c r="AC23" i="7"/>
  <c r="T23" i="7"/>
  <c r="S23" i="7"/>
  <c r="AJ22" i="7"/>
  <c r="AC22" i="7" s="1"/>
  <c r="AF22" i="7"/>
  <c r="AE22" i="7"/>
  <c r="AD22" i="7"/>
  <c r="T22" i="7"/>
  <c r="S22" i="7"/>
  <c r="AJ21" i="7"/>
  <c r="AF21" i="7"/>
  <c r="AE21" i="7"/>
  <c r="AD21" i="7"/>
  <c r="AC21" i="7"/>
  <c r="T21" i="7"/>
  <c r="S21" i="7"/>
  <c r="AJ20" i="7"/>
  <c r="AC20" i="7" s="1"/>
  <c r="AF20" i="7"/>
  <c r="AE20" i="7"/>
  <c r="AD20" i="7"/>
  <c r="T20" i="7"/>
  <c r="S20" i="7"/>
  <c r="AJ19" i="7"/>
  <c r="AF19" i="7"/>
  <c r="AE19" i="7"/>
  <c r="AD19" i="7"/>
  <c r="AC19" i="7"/>
  <c r="T19" i="7"/>
  <c r="S19" i="7"/>
  <c r="AJ18" i="7"/>
  <c r="AC18" i="7" s="1"/>
  <c r="AF18" i="7"/>
  <c r="AE18" i="7"/>
  <c r="AD18" i="7"/>
  <c r="T18" i="7"/>
  <c r="S18" i="7"/>
  <c r="AJ17" i="7"/>
  <c r="AF17" i="7"/>
  <c r="AE17" i="7"/>
  <c r="AD17" i="7"/>
  <c r="AC17" i="7"/>
  <c r="T17" i="7"/>
  <c r="S17" i="7"/>
  <c r="AJ16" i="7"/>
  <c r="AC16" i="7" s="1"/>
  <c r="AF16" i="7"/>
  <c r="AE16" i="7"/>
  <c r="AD16" i="7"/>
  <c r="T16" i="7"/>
  <c r="S16" i="7"/>
  <c r="AJ15" i="7"/>
  <c r="AF15" i="7"/>
  <c r="AE15" i="7"/>
  <c r="AD15" i="7"/>
  <c r="AC15" i="7"/>
  <c r="T15" i="7"/>
  <c r="S15" i="7"/>
  <c r="AJ14" i="7"/>
  <c r="AC14" i="7" s="1"/>
  <c r="AF14" i="7"/>
  <c r="AE14" i="7"/>
  <c r="AD14" i="7"/>
  <c r="T14" i="7"/>
  <c r="S14" i="7"/>
  <c r="AJ13" i="7"/>
  <c r="AF13" i="7"/>
  <c r="AE13" i="7"/>
  <c r="AD13" i="7"/>
  <c r="AC13" i="7"/>
  <c r="T13" i="7"/>
  <c r="S13" i="7"/>
  <c r="AJ12" i="7"/>
  <c r="AC12" i="7" s="1"/>
  <c r="AF12" i="7"/>
  <c r="AE12" i="7"/>
  <c r="AD12" i="7"/>
  <c r="T12" i="7"/>
  <c r="S12" i="7"/>
  <c r="AJ11" i="7"/>
  <c r="AF11" i="7"/>
  <c r="AE11" i="7"/>
  <c r="AD11" i="7"/>
  <c r="AC11" i="7"/>
  <c r="T11" i="7"/>
  <c r="S11" i="7"/>
  <c r="AJ10" i="7"/>
  <c r="AC10" i="7" s="1"/>
  <c r="AF10" i="7"/>
  <c r="AE10" i="7"/>
  <c r="AD10" i="7"/>
  <c r="T10" i="7"/>
  <c r="S10" i="7"/>
  <c r="AJ9" i="7"/>
  <c r="AF9" i="7"/>
  <c r="AE9" i="7"/>
  <c r="AD9" i="7"/>
  <c r="AC9" i="7"/>
  <c r="T9" i="7"/>
  <c r="S9" i="7"/>
  <c r="AJ8" i="7"/>
  <c r="AC8" i="7" s="1"/>
  <c r="AF8" i="7"/>
  <c r="AE8" i="7"/>
  <c r="AD8" i="7"/>
  <c r="T8" i="7"/>
  <c r="S8" i="7"/>
  <c r="AJ7" i="7"/>
  <c r="AF7" i="7"/>
  <c r="AE7" i="7"/>
  <c r="AD7" i="7"/>
  <c r="AC7" i="7"/>
  <c r="T7" i="7"/>
  <c r="S7" i="7"/>
  <c r="AJ6" i="7"/>
  <c r="AC6" i="7" s="1"/>
  <c r="AF6" i="7"/>
  <c r="AE6" i="7"/>
  <c r="AD6" i="7"/>
  <c r="T6" i="7"/>
  <c r="S6" i="7"/>
  <c r="AJ5" i="7"/>
  <c r="AN5" i="7" s="1"/>
  <c r="AF5" i="7"/>
  <c r="AE5" i="7"/>
  <c r="AD5" i="7"/>
  <c r="AC5" i="7"/>
  <c r="T5" i="7"/>
  <c r="S5" i="7"/>
  <c r="AJ4" i="7"/>
  <c r="AF4" i="7"/>
  <c r="AE4" i="7"/>
  <c r="AD4" i="7"/>
  <c r="T4" i="7"/>
  <c r="S4" i="7"/>
  <c r="B93" i="1" l="1"/>
  <c r="B144" i="1"/>
  <c r="B138" i="1"/>
  <c r="B124" i="1"/>
  <c r="B122" i="1"/>
  <c r="B101" i="1"/>
  <c r="B59" i="1"/>
  <c r="B39" i="1"/>
  <c r="B38" i="1"/>
  <c r="B151" i="1"/>
  <c r="B123" i="1"/>
  <c r="B51" i="1"/>
  <c r="B131" i="1"/>
  <c r="B150" i="1"/>
  <c r="B50" i="1"/>
  <c r="B149" i="1"/>
  <c r="B121" i="1"/>
  <c r="B49" i="1"/>
  <c r="B72" i="1"/>
  <c r="B130" i="1"/>
  <c r="B146" i="1"/>
  <c r="B48" i="1"/>
  <c r="AD56" i="1"/>
  <c r="B145" i="1"/>
  <c r="B108" i="1"/>
  <c r="B40" i="1"/>
  <c r="B96" i="1"/>
  <c r="B137" i="1"/>
  <c r="B37" i="1"/>
  <c r="B136" i="1"/>
  <c r="B82" i="1"/>
  <c r="B32" i="1"/>
  <c r="B135" i="1"/>
  <c r="B31" i="1"/>
  <c r="B132" i="1"/>
  <c r="B30" i="1"/>
  <c r="B107" i="1"/>
  <c r="B102" i="1"/>
  <c r="B142" i="1"/>
  <c r="B128" i="1"/>
  <c r="B58" i="1"/>
  <c r="B44" i="1"/>
  <c r="B141" i="1"/>
  <c r="B127" i="1"/>
  <c r="B113" i="1"/>
  <c r="B99" i="1"/>
  <c r="B71" i="1"/>
  <c r="B57" i="1"/>
  <c r="B29" i="1"/>
  <c r="B143" i="1"/>
  <c r="B129" i="1"/>
  <c r="B140" i="1"/>
  <c r="B112" i="1"/>
  <c r="B70" i="1"/>
  <c r="B28" i="1"/>
  <c r="B46" i="1"/>
  <c r="B139" i="1"/>
  <c r="B111" i="1"/>
  <c r="B97" i="1"/>
  <c r="B83" i="1"/>
  <c r="B69" i="1"/>
  <c r="B55" i="1"/>
  <c r="B68" i="1"/>
  <c r="B148" i="1"/>
  <c r="B134" i="1"/>
  <c r="B120" i="1"/>
  <c r="B92" i="1"/>
  <c r="B36" i="1"/>
  <c r="B147" i="1"/>
  <c r="B133" i="1"/>
  <c r="B119" i="1"/>
  <c r="B35" i="1"/>
  <c r="B104" i="1"/>
  <c r="B34" i="1"/>
  <c r="B103" i="1"/>
  <c r="B61" i="1"/>
  <c r="B47" i="1"/>
  <c r="Z116" i="1"/>
  <c r="B116" i="1" s="1"/>
  <c r="Z74" i="1"/>
  <c r="B74" i="1" s="1"/>
  <c r="Z88" i="1"/>
  <c r="B88" i="1" s="1"/>
  <c r="Z77" i="1"/>
  <c r="B77" i="1" s="1"/>
  <c r="Z91" i="1"/>
  <c r="B91" i="1" s="1"/>
  <c r="Z117" i="1"/>
  <c r="B117" i="1" s="1"/>
  <c r="Z105" i="1"/>
  <c r="B105" i="1" s="1"/>
  <c r="Z118" i="1"/>
  <c r="B118" i="1" s="1"/>
  <c r="Z115" i="1"/>
  <c r="B115" i="1" s="1"/>
  <c r="Z87" i="1"/>
  <c r="B87" i="1" s="1"/>
  <c r="Z81" i="1"/>
  <c r="B81" i="1" s="1"/>
  <c r="Z80" i="1"/>
  <c r="B80" i="1" s="1"/>
  <c r="Z100" i="1"/>
  <c r="B100" i="1" s="1"/>
  <c r="Z86" i="1"/>
  <c r="B86" i="1" s="1"/>
  <c r="Z95" i="1"/>
  <c r="B95" i="1" s="1"/>
  <c r="Z94" i="1"/>
  <c r="B94" i="1" s="1"/>
  <c r="Z73" i="1"/>
  <c r="B73" i="1" s="1"/>
  <c r="Z85" i="1"/>
  <c r="B85" i="1" s="1"/>
  <c r="Z98" i="1"/>
  <c r="B98" i="1" s="1"/>
  <c r="Z90" i="1"/>
  <c r="B90" i="1" s="1"/>
  <c r="Z76" i="1"/>
  <c r="B76" i="1" s="1"/>
  <c r="Z84" i="1"/>
  <c r="B84" i="1" s="1"/>
  <c r="Z89" i="1"/>
  <c r="B89" i="1" s="1"/>
  <c r="Z110" i="1"/>
  <c r="B110" i="1" s="1"/>
  <c r="Z75" i="1"/>
  <c r="B75" i="1" s="1"/>
  <c r="AD78" i="1"/>
  <c r="AD69" i="1"/>
  <c r="AD68" i="1"/>
  <c r="AD145" i="1"/>
  <c r="AD136" i="1"/>
  <c r="AD127" i="1"/>
  <c r="AD101" i="1"/>
  <c r="AD58" i="1"/>
  <c r="AD128" i="1"/>
  <c r="AD131" i="1"/>
  <c r="AD55" i="1"/>
  <c r="AD139" i="1"/>
  <c r="AD150" i="1"/>
  <c r="AD147" i="1"/>
  <c r="AD52" i="1"/>
  <c r="AD34" i="1"/>
  <c r="AD133" i="1"/>
  <c r="AD124" i="1"/>
  <c r="AD138" i="1"/>
  <c r="AD51" i="1"/>
  <c r="AD61" i="1"/>
  <c r="AD126" i="1"/>
  <c r="AD114" i="1"/>
  <c r="AD125" i="1"/>
  <c r="AD82" i="1"/>
  <c r="AD108" i="1"/>
  <c r="AD106" i="1"/>
  <c r="AD79" i="1"/>
  <c r="AD109" i="1"/>
  <c r="AC36" i="1"/>
  <c r="AC37" i="1"/>
  <c r="AC38" i="1"/>
  <c r="AC39" i="1"/>
  <c r="AC40" i="1"/>
  <c r="AC33" i="1"/>
  <c r="Z33" i="1" s="1"/>
  <c r="B33" i="1" s="1"/>
  <c r="AC42" i="1"/>
  <c r="Z42" i="1" s="1"/>
  <c r="B42" i="1" s="1"/>
  <c r="AC43" i="1"/>
  <c r="Z43" i="1" s="1"/>
  <c r="B43" i="1" s="1"/>
  <c r="AC44" i="1"/>
  <c r="AC45" i="1"/>
  <c r="Z45" i="1" s="1"/>
  <c r="B45" i="1" s="1"/>
  <c r="AC46" i="1"/>
  <c r="AC47" i="1"/>
  <c r="AC48" i="1"/>
  <c r="AC49" i="1"/>
  <c r="AC50" i="1"/>
  <c r="AC51" i="1"/>
  <c r="AC52" i="1"/>
  <c r="AC53" i="1"/>
  <c r="Z53" i="1" s="1"/>
  <c r="B53" i="1" s="1"/>
  <c r="AC54" i="1"/>
  <c r="Z54" i="1" s="1"/>
  <c r="B54" i="1" s="1"/>
  <c r="AC55" i="1"/>
  <c r="AC56" i="1"/>
  <c r="AC57" i="1"/>
  <c r="AC58" i="1"/>
  <c r="AC59" i="1"/>
  <c r="AD59" i="1" s="1"/>
  <c r="AC61" i="1"/>
  <c r="AC62" i="1"/>
  <c r="Z62" i="1" s="1"/>
  <c r="B62" i="1" s="1"/>
  <c r="AC63" i="1"/>
  <c r="AC64" i="1"/>
  <c r="Z64" i="1" s="1"/>
  <c r="B64" i="1" s="1"/>
  <c r="AC65" i="1"/>
  <c r="Z65" i="1" s="1"/>
  <c r="B65" i="1" s="1"/>
  <c r="AC66" i="1"/>
  <c r="Z66" i="1" s="1"/>
  <c r="B66" i="1" s="1"/>
  <c r="AC67" i="1"/>
  <c r="Z67" i="1" s="1"/>
  <c r="B67" i="1" s="1"/>
  <c r="AC68" i="1"/>
  <c r="AC69" i="1"/>
  <c r="AC70" i="1"/>
  <c r="AC71" i="1"/>
  <c r="AC72" i="1"/>
  <c r="Z63" i="1" l="1"/>
  <c r="B63" i="1" s="1"/>
  <c r="AD117" i="1"/>
  <c r="AD67" i="1"/>
  <c r="AD66" i="1"/>
  <c r="AD62" i="1"/>
  <c r="AD53" i="1"/>
  <c r="AD75" i="1"/>
  <c r="AD90" i="1"/>
  <c r="AD89" i="1"/>
  <c r="AD115" i="1"/>
  <c r="AD76" i="1"/>
  <c r="AD88" i="1"/>
  <c r="AD100" i="1"/>
  <c r="AD116" i="1"/>
  <c r="AD87" i="1"/>
  <c r="AD73" i="1"/>
  <c r="AD74" i="1"/>
  <c r="AD118" i="1"/>
  <c r="AD80" i="1"/>
  <c r="AD98" i="1"/>
  <c r="AD86" i="1"/>
  <c r="AD81" i="1"/>
  <c r="AD110" i="1"/>
  <c r="AD85" i="1"/>
  <c r="AD95" i="1"/>
  <c r="AD91" i="1"/>
  <c r="AD77" i="1"/>
  <c r="AD84" i="1"/>
  <c r="AD94" i="1"/>
  <c r="AD105" i="1"/>
  <c r="AD65" i="1"/>
  <c r="AD54" i="1"/>
  <c r="AD64" i="1"/>
  <c r="AD44" i="1"/>
  <c r="AD42" i="1"/>
  <c r="AD33" i="1"/>
  <c r="AD43" i="1"/>
  <c r="AC18" i="1"/>
  <c r="Z18" i="1" s="1"/>
  <c r="B18" i="1" s="1"/>
  <c r="AC17" i="1"/>
  <c r="Z17" i="1" s="1"/>
  <c r="B17" i="1" s="1"/>
  <c r="AD63" i="1" l="1"/>
  <c r="AD17" i="1"/>
  <c r="AD18" i="1"/>
  <c r="AD45" i="1"/>
  <c r="AC9" i="1"/>
  <c r="Z9" i="1" s="1"/>
  <c r="B9" i="1" s="1"/>
  <c r="AC6" i="1"/>
  <c r="Z6" i="1" s="1"/>
  <c r="B6" i="1" s="1"/>
  <c r="AC5" i="1"/>
  <c r="Z5" i="1" s="1"/>
  <c r="B5" i="1" s="1"/>
  <c r="AC7" i="1"/>
  <c r="Z7" i="1" s="1"/>
  <c r="B7" i="1" s="1"/>
  <c r="AC8" i="1"/>
  <c r="Z8" i="1" s="1"/>
  <c r="B8" i="1" s="1"/>
  <c r="AC10" i="1"/>
  <c r="Z10" i="1" s="1"/>
  <c r="B10" i="1" s="1"/>
  <c r="AC11" i="1"/>
  <c r="Z11" i="1" s="1"/>
  <c r="B11" i="1" s="1"/>
  <c r="AC12" i="1"/>
  <c r="Z12" i="1" s="1"/>
  <c r="B12" i="1" s="1"/>
  <c r="AC13" i="1"/>
  <c r="Z13" i="1" s="1"/>
  <c r="B13" i="1" s="1"/>
  <c r="AC14" i="1"/>
  <c r="Z14" i="1" s="1"/>
  <c r="B14" i="1" s="1"/>
  <c r="AC15" i="1"/>
  <c r="Z15" i="1" s="1"/>
  <c r="B15" i="1" s="1"/>
  <c r="AC16" i="1"/>
  <c r="Z16" i="1" s="1"/>
  <c r="B16" i="1" s="1"/>
  <c r="AC19" i="1"/>
  <c r="Z19" i="1" s="1"/>
  <c r="B19" i="1" s="1"/>
  <c r="AC20" i="1"/>
  <c r="Z20" i="1" s="1"/>
  <c r="B20" i="1" s="1"/>
  <c r="AC21" i="1"/>
  <c r="Z21" i="1" s="1"/>
  <c r="B21" i="1" s="1"/>
  <c r="AC22" i="1"/>
  <c r="Z22" i="1" s="1"/>
  <c r="B22" i="1" s="1"/>
  <c r="AC23" i="1"/>
  <c r="Z23" i="1" s="1"/>
  <c r="B23" i="1" s="1"/>
  <c r="AC24" i="1"/>
  <c r="Z24" i="1" s="1"/>
  <c r="B24" i="1" s="1"/>
  <c r="AC25" i="1"/>
  <c r="Z25" i="1" s="1"/>
  <c r="B25" i="1" s="1"/>
  <c r="AC26" i="1"/>
  <c r="Z26" i="1" s="1"/>
  <c r="B26" i="1" s="1"/>
  <c r="AC27" i="1"/>
  <c r="Z27" i="1" s="1"/>
  <c r="B27" i="1" s="1"/>
  <c r="AC28" i="1"/>
  <c r="AC29" i="1"/>
  <c r="AC30" i="1"/>
  <c r="AC31" i="1"/>
  <c r="AC32" i="1"/>
  <c r="AC41" i="1"/>
  <c r="Z41" i="1" s="1"/>
  <c r="B41" i="1" s="1"/>
  <c r="AC34" i="1"/>
  <c r="AC35" i="1"/>
  <c r="AC4" i="1"/>
  <c r="Z4" i="1" s="1"/>
  <c r="B4" i="1" s="1"/>
  <c r="AD7" i="1" l="1"/>
  <c r="AD26" i="1"/>
  <c r="AD14" i="1"/>
  <c r="AD25" i="1"/>
  <c r="AD15" i="1"/>
  <c r="AD12" i="1"/>
  <c r="AD27" i="1"/>
  <c r="AD11" i="1"/>
  <c r="AD29" i="1"/>
  <c r="AD10" i="1"/>
  <c r="AD9" i="1"/>
  <c r="AD4" i="1"/>
  <c r="AD22" i="1" l="1"/>
  <c r="AD19" i="1"/>
  <c r="AD41" i="1"/>
  <c r="AD20" i="1"/>
  <c r="AD24" i="1"/>
  <c r="AD8" i="1"/>
  <c r="AD13" i="1"/>
  <c r="AD16" i="1"/>
  <c r="AD5" i="1"/>
  <c r="AD21" i="1"/>
  <c r="AD6" i="1"/>
  <c r="AD2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Locador OGTI 09 (Yrupailla Diaz, Ronald Smith)</author>
  </authors>
  <commentList>
    <comment ref="C3" authorId="0" shapeId="0" xr:uid="{82FC6082-ECB2-4709-8A1A-D428FACBCDFD}">
      <text>
        <r>
          <rPr>
            <b/>
            <sz val="9"/>
            <color indexed="81"/>
            <rFont val="Tahoma"/>
            <family val="2"/>
          </rPr>
          <t>Locador OGTI 09 (Yrupailla Diaz, Ronald Smith):</t>
        </r>
        <r>
          <rPr>
            <sz val="9"/>
            <color indexed="81"/>
            <rFont val="Tahoma"/>
            <family val="2"/>
          </rPr>
          <t xml:space="preserve">
Completar con el código del requerimiento principal, para casos de adenda y complementario.</t>
        </r>
      </text>
    </comment>
    <comment ref="N3" authorId="0" shapeId="0" xr:uid="{8E29D398-5214-405B-9D5B-54A0E2726439}">
      <text>
        <r>
          <rPr>
            <b/>
            <sz val="9"/>
            <color indexed="81"/>
            <rFont val="Tahoma"/>
            <family val="2"/>
          </rPr>
          <t>Locador OGTI 09 (Yrupailla Diaz, Ronald Smith):</t>
        </r>
        <r>
          <rPr>
            <sz val="9"/>
            <color indexed="81"/>
            <rFont val="Tahoma"/>
            <family val="2"/>
          </rPr>
          <t xml:space="preserve">
En caso el requerimiento sea para atender necesidad de área externa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Locador OGTI 09 (Yrupailla Diaz, Ronald Smith)</author>
  </authors>
  <commentList>
    <comment ref="D3" authorId="0" shapeId="0" xr:uid="{A4DA7E83-A5D0-44CB-A559-86D41039D047}">
      <text>
        <r>
          <rPr>
            <b/>
            <sz val="9"/>
            <color indexed="81"/>
            <rFont val="Tahoma"/>
            <family val="2"/>
          </rPr>
          <t>Locador OGTI 09 (Yrupailla Diaz, Ronald Smith):</t>
        </r>
        <r>
          <rPr>
            <sz val="9"/>
            <color indexed="81"/>
            <rFont val="Tahoma"/>
            <family val="2"/>
          </rPr>
          <t xml:space="preserve">
En caso el requerimiento sea una renovación</t>
        </r>
      </text>
    </comment>
    <comment ref="E3" authorId="0" shapeId="0" xr:uid="{169C9B53-4AA2-4B96-8784-4F8EF71E0E90}">
      <text>
        <r>
          <rPr>
            <b/>
            <sz val="9"/>
            <color indexed="81"/>
            <rFont val="Tahoma"/>
            <family val="2"/>
          </rPr>
          <t>Locador OGTI 09 (Yrupailla Diaz, Ronald Smith):</t>
        </r>
        <r>
          <rPr>
            <sz val="9"/>
            <color indexed="81"/>
            <rFont val="Tahoma"/>
            <family val="2"/>
          </rPr>
          <t xml:space="preserve">
Completar con el código del requerimiento principal, para casos de adenda y complementario.</t>
        </r>
      </text>
    </comment>
    <comment ref="M3" authorId="0" shapeId="0" xr:uid="{43D96427-28FD-462A-86DA-8B443F260FE4}">
      <text>
        <r>
          <rPr>
            <b/>
            <sz val="9"/>
            <color indexed="81"/>
            <rFont val="Tahoma"/>
            <family val="2"/>
          </rPr>
          <t>Locador OGTI 09 (Yrupailla Diaz, Ronald Smith):</t>
        </r>
        <r>
          <rPr>
            <sz val="9"/>
            <color indexed="81"/>
            <rFont val="Tahoma"/>
            <family val="2"/>
          </rPr>
          <t xml:space="preserve">
En caso el requerimiento sea para atender necesidad de área externa</t>
        </r>
      </text>
    </comment>
  </commentList>
</comments>
</file>

<file path=xl/sharedStrings.xml><?xml version="1.0" encoding="utf-8"?>
<sst xmlns="http://schemas.openxmlformats.org/spreadsheetml/2006/main" count="6196" uniqueCount="1286">
  <si>
    <t>Requerimientos OIT</t>
  </si>
  <si>
    <t>Datos del Requerimiento</t>
  </si>
  <si>
    <t>Seguimiento de atención de requerimiento y estado del servicio</t>
  </si>
  <si>
    <t>Gestión de Renovación</t>
  </si>
  <si>
    <t>Código</t>
  </si>
  <si>
    <t>Estado_Tablero</t>
  </si>
  <si>
    <t>Requerimiento asociado</t>
  </si>
  <si>
    <t>Indicador PAC</t>
  </si>
  <si>
    <t>Tipo de Procedimiento</t>
  </si>
  <si>
    <t>Tipo requerimiento</t>
  </si>
  <si>
    <t>Tipo de adquisición</t>
  </si>
  <si>
    <t>Denominación</t>
  </si>
  <si>
    <t>Hoja de Ruta asociadas</t>
  </si>
  <si>
    <t>Servicios - Bienes incluidos</t>
  </si>
  <si>
    <t>Área OIT</t>
  </si>
  <si>
    <t>Coordinador</t>
  </si>
  <si>
    <t>Responsable</t>
  </si>
  <si>
    <t>Área Usuaria MEF</t>
  </si>
  <si>
    <t>Monto</t>
  </si>
  <si>
    <t>Fecha de solicitud</t>
  </si>
  <si>
    <t>Estado_Requerimiento/Contrato</t>
  </si>
  <si>
    <t>Area_asignada</t>
  </si>
  <si>
    <t>Fecha de ultimo estado</t>
  </si>
  <si>
    <t>Cantidad_dias_ en área asignada</t>
  </si>
  <si>
    <t>Documento de contratación</t>
  </si>
  <si>
    <t>Nro de documento</t>
  </si>
  <si>
    <t>Fecha de suscripción o notificación</t>
  </si>
  <si>
    <t>Empresa(s) contratada</t>
  </si>
  <si>
    <t>Reponsable de ejecución</t>
  </si>
  <si>
    <t>Estado_servicio</t>
  </si>
  <si>
    <t>Fecha de inicio_vigencia</t>
  </si>
  <si>
    <t>Fecha de fin_vigencia</t>
  </si>
  <si>
    <t>Vigencia</t>
  </si>
  <si>
    <t>Dias sin servicio</t>
  </si>
  <si>
    <t>Comentarios_atencion_requerimiento</t>
  </si>
  <si>
    <t>Comentarios_Servicio (Ejecución)</t>
  </si>
  <si>
    <t>Enlace de Repositorio</t>
  </si>
  <si>
    <t>¿Requiere Renovar?</t>
  </si>
  <si>
    <t>Estado renovación</t>
  </si>
  <si>
    <t>HR renovación</t>
  </si>
  <si>
    <t>Fecha_Inicio_Renov</t>
  </si>
  <si>
    <t>Fecha_Fin_Renov</t>
  </si>
  <si>
    <t>REQ-2026-0001</t>
  </si>
  <si>
    <t>-</t>
  </si>
  <si>
    <t>NO</t>
  </si>
  <si>
    <t>Contratación Directa</t>
  </si>
  <si>
    <t>Renovación</t>
  </si>
  <si>
    <t>Bienes</t>
  </si>
  <si>
    <t>Adquisición de licencias de software para Central Telefónica destinadas al uso de softphone para la Defensoría del Contribuyente y Usuario Aduanero del MEF.</t>
  </si>
  <si>
    <t>074877-2026</t>
  </si>
  <si>
    <t>Licencias Softphone para central telefonica</t>
  </si>
  <si>
    <t>Telefonía</t>
  </si>
  <si>
    <t>Isaias Bolivar Reaño</t>
  </si>
  <si>
    <t>Defensoría del Contribuyente y Usuario Aduanero</t>
  </si>
  <si>
    <t>Ejecutado</t>
  </si>
  <si>
    <t>Orden de Compra</t>
  </si>
  <si>
    <t>0000149-2026</t>
  </si>
  <si>
    <t>E-BUSINESS DISTRIBUTION PERU S.A</t>
  </si>
  <si>
    <t>Licencias no tienen vigencia. Garantia del 12-05-26 al 11-05-27)</t>
  </si>
  <si>
    <t>https://mefgobpe1.sharepoint.com/:f:/t/DireccindelaOficinadeInfraestructuraTecnolgica/IgAMjzQ2CwrsSrZrpbNNuH6TAexSvIZkaygR0PcCrH9EkUg?e=bpppHT</t>
  </si>
  <si>
    <t>REQ-2026-0002</t>
  </si>
  <si>
    <t>Nuevo requerimiento</t>
  </si>
  <si>
    <t>Adquisición de audífonos para la Defensoría del Contribuyente y Usuario Aduanero del MEF</t>
  </si>
  <si>
    <t>074848-2026</t>
  </si>
  <si>
    <t>Audifonos (12 unidades)</t>
  </si>
  <si>
    <t>0000115-2026</t>
  </si>
  <si>
    <t>VML COMPUTER S.A.C.</t>
  </si>
  <si>
    <t>Conforrmidad HR 090493-2026</t>
  </si>
  <si>
    <t>REQ-2026-0003</t>
  </si>
  <si>
    <t>Servicios</t>
  </si>
  <si>
    <t xml:space="preserve">Contratación de una Cuenta Teams Room para la Sala de Reuniones de la Dirección General de Abastecimiento </t>
  </si>
  <si>
    <t>*082319-2026 (Requerimiento)
*033456-2026 (Antecedente 01)
*178871-2025 (Antecedente 02)</t>
  </si>
  <si>
    <t>Teams Room</t>
  </si>
  <si>
    <t>Soporte Tecnico</t>
  </si>
  <si>
    <t>Napoleon Alva Vasquez</t>
  </si>
  <si>
    <t>Ronald Yrupailla Diaz</t>
  </si>
  <si>
    <t>Dirección General de Abastecimiento</t>
  </si>
  <si>
    <t>Orden de Servicio</t>
  </si>
  <si>
    <t>0002117-2026</t>
  </si>
  <si>
    <t>DAILY TECHNOLOGY S.A.C</t>
  </si>
  <si>
    <t>Conforrmidad HR 096621-2026</t>
  </si>
  <si>
    <t>https://mefgobpe1.sharepoint.com/:f:/t/DireccindelaOficinadeInfraestructuraTecnolgica/IgAZXGbnCkU6TontNlj_5zofAbPXwRd4mqf2ka9BS6cc7LU?e=Ejjkds</t>
  </si>
  <si>
    <t>REQ-2026-0004</t>
  </si>
  <si>
    <t>Adquisición de puntero laser inalámbrico para presentación de diapositivas y extensor inalámbrico de señal HDMI/VGA</t>
  </si>
  <si>
    <t>*082266-2026 (Requerimiento)
*060008-2026 (Apoyo presupuestal)</t>
  </si>
  <si>
    <t>*Puntero Laser USB
*Extensor inalámbrico de señal HDMI/VGA</t>
  </si>
  <si>
    <t>0000114-2026</t>
  </si>
  <si>
    <t>ELECTRONICA MUSICAL SOCIEDAD ANONIMA CERRADA</t>
  </si>
  <si>
    <t>Conforrmidad HR 090442-2026</t>
  </si>
  <si>
    <t>https://mefgobpe1.sharepoint.com/:f:/t/DireccindelaOficinadeInfraestructuraTecnolgica/IgDhJgwKBPIITJaNuzbU7fwMAWJyPbtURdvydZOXH0YHWGA?e=5X4nby</t>
  </si>
  <si>
    <t>REQ-2026-0005</t>
  </si>
  <si>
    <t>Adquisición de Pantalla Interactiva para la Dirección General de Presupuesto Público (DGPP).</t>
  </si>
  <si>
    <t>048517-2026</t>
  </si>
  <si>
    <t>Pantalla interactiva</t>
  </si>
  <si>
    <t>Dirección General de Presupuesto Público</t>
  </si>
  <si>
    <t>0000077-2026</t>
  </si>
  <si>
    <t>COMPU CENTER BUSSINES S.A.C.</t>
  </si>
  <si>
    <t>Conforrmidad  HR 081407-2026</t>
  </si>
  <si>
    <t>https://mefgobpe1.sharepoint.com/:f:/t/DireccindelaOficinadeInfraestructuraTecnolgica/IgAuQUOZDJlsS52DtyJNBD8aAQ9zOl_Ud_ejgD_u3ufWXIQ?e=YafDUj</t>
  </si>
  <si>
    <t>REQ-2026-0006</t>
  </si>
  <si>
    <t>Adquisición de Pantalla Interactiva para el Tribunal Fiscal del Ministerio de Economía y Finanzas</t>
  </si>
  <si>
    <t>033089-2026</t>
  </si>
  <si>
    <t>Tribunal Fiscal</t>
  </si>
  <si>
    <t>0000048-2026</t>
  </si>
  <si>
    <t>Conforrmidad  HR 056765-2026</t>
  </si>
  <si>
    <t>https://mefgobpe1.sharepoint.com/:f:/t/DireccindelaOficinadeInfraestructuraTecnolgica/IgA4J9G8lX8jTL50cb-xPfgVAYuuw3a9sQa6941P4nOdfms?e=DE2hgt</t>
  </si>
  <si>
    <t>REQ-2026-0007</t>
  </si>
  <si>
    <t>Servicio de mantenimiento preventivo y correctivo de equipos escáner de gran formato de la Oficina General de Servicios al Usuario (OGSU)</t>
  </si>
  <si>
    <t>042907-2026</t>
  </si>
  <si>
    <t>Mantenimiento preventivo y correctivo (Escaner IQ X4400)</t>
  </si>
  <si>
    <t>Oficina General de Servicios al Usuario</t>
  </si>
  <si>
    <t>0001928-2026</t>
  </si>
  <si>
    <t>GRUPO VENTURA PERU S.A.C.</t>
  </si>
  <si>
    <t>*Conformidad HR 092550-2026
*Seguimiento a garantia</t>
  </si>
  <si>
    <t>https://mefgobpe1.sharepoint.com/:f:/t/DireccindelaOficinadeInfraestructuraTecnolgica/IgAdCBapqOqqRJpyEFJ7XwgXAX0rGkLM2DRJnlRRxk9fGTo?e=7jpXkp</t>
  </si>
  <si>
    <t>REQ-2026-0008</t>
  </si>
  <si>
    <t>Servicio de suscripción de licencias de software de asistencia inteligente y de automatización de flujos de trabajo de la marca Microsoft</t>
  </si>
  <si>
    <t>040448-2026</t>
  </si>
  <si>
    <t>*COPILOT 365 (21)
*Power Automate Process (02)</t>
  </si>
  <si>
    <t>Jefatura OIT</t>
  </si>
  <si>
    <t>José Romucho Sotelo</t>
  </si>
  <si>
    <t>Oficina General de Tecnologías de la Información</t>
  </si>
  <si>
    <t>0001422-2026</t>
  </si>
  <si>
    <t>SEIDOR TECHNOLOGIES PERU S.A.C.</t>
  </si>
  <si>
    <t>*Conformidad HR 072061-2026</t>
  </si>
  <si>
    <t>https://mefgobpe1.sharepoint.com/:f:/t/DireccindelaOficinadeInfraestructuraTecnolgica/IgDtI1itSj1MRIe9w_PuV_8qAWxI3nhcWFemRLD2qjgXkco?e=DCylEI</t>
  </si>
  <si>
    <t>REQ-2026-0009</t>
  </si>
  <si>
    <t>Servicio de suscripción de licencias de software para el desarrollo de aplicaciones empresariales de bajo código (low-code)</t>
  </si>
  <si>
    <t>040460-2026</t>
  </si>
  <si>
    <t>Power Apps Premium</t>
  </si>
  <si>
    <t>Oficina de Sistemas de Información</t>
  </si>
  <si>
    <t>0001453-2026</t>
  </si>
  <si>
    <t>Conformidad HR 072066-2026</t>
  </si>
  <si>
    <t>REQ-2026-0010</t>
  </si>
  <si>
    <t xml:space="preserve">Adquisición de equipamiento tecnológico para la producción y difusión de contenidos de la Oficina de Comunicaciones </t>
  </si>
  <si>
    <t>*089135-2026 (Requerimiento)
*085712-2026- 005955-2026 (Apoyo presupuestal)</t>
  </si>
  <si>
    <t>*Discos solidos externos (1 TB y 2TB)
*Telepromter
*Tablet
*Bateria Recargable
*Equipo de transmision en vivo
*Transmisor de video inalambrico
*Tripode con sujetador de movil</t>
  </si>
  <si>
    <t>Oficina de Comunicaciones</t>
  </si>
  <si>
    <t>0000164-2026</t>
  </si>
  <si>
    <t>CUY TECHNOLOGIES E.I.R.L.</t>
  </si>
  <si>
    <t>Conformidad 120798-2026 / 120456-2026</t>
  </si>
  <si>
    <t>https://mefgobpe1.sharepoint.com/:f:/t/DireccindelaOficinadeInfraestructuraTecnolgica/IgC1sKmCnD2OR6nwjjoR-5QzAWuoyeFD46P5CnRUqQofQSM?e=fKqH5P</t>
  </si>
  <si>
    <t>REQ-2026-0011</t>
  </si>
  <si>
    <t xml:space="preserve">Adquisición de equipos de cómputo (CPU y Monitor) para la Oficina de Comunicaciones del Ministerio de Economía y Finanzas </t>
  </si>
  <si>
    <t>052742-2026</t>
  </si>
  <si>
    <t>*02 Workstation
*02 Monitores</t>
  </si>
  <si>
    <t>0000143-2026</t>
  </si>
  <si>
    <t>COMPU-SISTEMAS DEL PERU SAC</t>
  </si>
  <si>
    <t>Conformidad 113245-2026</t>
  </si>
  <si>
    <t>https://mefgobpe1.sharepoint.com/:f:/t/DireccindelaOficinadeInfraestructuraTecnolgica/IgA5G0WmVxohTqP5MQbMskHSAWM6M_Nigc_QT61A2izummk?e=2mwTcX</t>
  </si>
  <si>
    <t>REQ-2026-0012</t>
  </si>
  <si>
    <t>Servicio de suscripción de licencias de software para la gestión de videoconferencias (Modo Cloud) de la Oficina General de Recursos
Humanos del Ministerio de Economía y Finanzas</t>
  </si>
  <si>
    <t>*101707-2026 (Requerimiento)
*088416-202 (Req 01)
*097140-2026 (Apoyo presupuestal)</t>
  </si>
  <si>
    <t>Zoom Business (15 licencias)</t>
  </si>
  <si>
    <t>Oficina General de Recursos Humanos</t>
  </si>
  <si>
    <t>0002637-2026</t>
  </si>
  <si>
    <t>ARGACORP S.A.C.</t>
  </si>
  <si>
    <t>Conformidad 118804-2026</t>
  </si>
  <si>
    <t>https://mefgobpe1.sharepoint.com/:f:/t/DireccindelaOficinadeInfraestructuraTecnolgica/IgBFT23nqG9zQ7rbTFVcZ7QxAYluJ9F4NfR0qxfKpTAXlgY?e=nMW8TE</t>
  </si>
  <si>
    <t>REQ-2026-0013</t>
  </si>
  <si>
    <t>Adquisición de accesorios informáticos para equipos de cómputo (Lectoras CD/DVD)-OGSU</t>
  </si>
  <si>
    <t>*114171-2026 (Requerimiento consolidado)
*073576-2026 (Requerimiento inicial)
*109395-2026 (Apoyo presupuesta)</t>
  </si>
  <si>
    <t>Lectoras externas de CD/DVD (06 unidades)</t>
  </si>
  <si>
    <t>0000182-2026</t>
  </si>
  <si>
    <t>Conformidad 125911-2026</t>
  </si>
  <si>
    <t>https://mefgobpe1.sharepoint.com/:f:/t/DireccindelaOficinadeInfraestructuraTecnolgica/IgBggS-oH5JqTr_6GWypG4b4ATKxqfyCVeq7C0aBSIKTF4c?e=LBGJEY</t>
  </si>
  <si>
    <t>REQ-2026-0014</t>
  </si>
  <si>
    <t>Adquisición de accesorios informáticos para equipos de cómputo (Lectoras CD/DVD)-Procuradoria</t>
  </si>
  <si>
    <t>*114171-2026 (Requerimiento consolidado)
*Correo (Requerimiento inicial)</t>
  </si>
  <si>
    <t>Lectoras externas de CD/DVD (03 unidades)</t>
  </si>
  <si>
    <t>Procuraduría Pública Especializada en Materia Hacendaria</t>
  </si>
  <si>
    <t>https://mefgobpe1.sharepoint.com/:f:/t/DireccindelaOficinadeInfraestructuraTecnolgica/IgAhsups6_SGQojMLYgdHk-0AXwoAEv3n-GpPgZzS4F96cQ?e=SUEvKN</t>
  </si>
  <si>
    <t>REQ-2026-0015</t>
  </si>
  <si>
    <t>Adquisición de accesorios informáticos para equipos de cómputo (Adaptador HDMI-VGA y Cable de seguridad Laptop)-DEFCON</t>
  </si>
  <si>
    <t>*114171-2026 (Requerimiento consolidado)
*092014-2026 / 082489-2026 (Requerimiento inicial)</t>
  </si>
  <si>
    <t>*Adaptador HDMI a VGA
*Cable de seguridad para laptop</t>
  </si>
  <si>
    <t>https://mefgobpe1.sharepoint.com/:f:/t/DireccindelaOficinadeInfraestructuraTecnolgica/IgCll127HQEpSImNYotDU9X-AVijdG8ZVg50_SyeasEmpiA?e=acIxyJ</t>
  </si>
  <si>
    <t>REQ-2026-0016</t>
  </si>
  <si>
    <t>Servicio de Suscripción de Software de Gestión de Proyectos de la
marca Microsoft</t>
  </si>
  <si>
    <t>080309-2026</t>
  </si>
  <si>
    <t>Planner y Project Plan 3 (23 unidades)</t>
  </si>
  <si>
    <t>0002327-2026</t>
  </si>
  <si>
    <t>*Conformidad 114042-2026
*Reduccion de o.s 114497-2026</t>
  </si>
  <si>
    <t>https://mefgobpe1.sharepoint.com/:f:/t/DireccindelaOficinadeInfraestructuraTecnolgica/IgA_ThXieabKQYWhIq9N88JYAUdCaTsOhspNLFXZ1xVx_XQ?e=6VmMxh</t>
  </si>
  <si>
    <t>REQ-2026-0017</t>
  </si>
  <si>
    <t>Servicio de notificaciones masivas para mensajería empresarial
(WhatsApp) a través de la plataforma INFOBIP</t>
  </si>
  <si>
    <t>015282-2026</t>
  </si>
  <si>
    <t>*34,000 creditos
*03 Agentes
*5000 sesiones x mes</t>
  </si>
  <si>
    <t>0001386-2026</t>
  </si>
  <si>
    <t>ENTEL PERU S.A.</t>
  </si>
  <si>
    <t>*Ampliacion de plazo 101774-2026 / 101763-2026
*Conformidad 110185-2026</t>
  </si>
  <si>
    <t>https://mefgobpe1.sharepoint.com/:f:/t/DireccindelaOficinadeInfraestructuraTecnolgica/IgAJ7qpoO04-RKLsaYI_TPCaAVnLB3BfeTI4TPceZmZC55c?e=sVYOpK</t>
  </si>
  <si>
    <t>REQ-2026-0018</t>
  </si>
  <si>
    <t>Certificados digitales de
persona jurídica - RENIEC</t>
  </si>
  <si>
    <t>081249-2026</t>
  </si>
  <si>
    <t>1500 Certificados digitales</t>
  </si>
  <si>
    <t>Oficina de Infraestructura Tecnológica</t>
  </si>
  <si>
    <t>Nota de Compromiso</t>
  </si>
  <si>
    <t>0345-2026-EF</t>
  </si>
  <si>
    <t>RENIEC</t>
  </si>
  <si>
    <t>https://mefgobpe1.sharepoint.com/:f:/t/DireccindelaOficinadeInfraestructuraTecnolgica/IgA9cJfXxPsWSrNqD9HaRbozAaXWixz8fwTopb-CgIW66Dg?e=QYD4wl</t>
  </si>
  <si>
    <t>REQ-2026-0019</t>
  </si>
  <si>
    <t>Adquisición de impresora multifuncional laser a color</t>
  </si>
  <si>
    <t>085801-2026</t>
  </si>
  <si>
    <t>Impresora a color</t>
  </si>
  <si>
    <t>Secretaría General</t>
  </si>
  <si>
    <t>0000137-2026</t>
  </si>
  <si>
    <t>TEAMWORK CONSULTING &amp; GENERAL SERVICES S.A.C.</t>
  </si>
  <si>
    <t>*Conformidad 099839-2026
*Antecedente 192039-2025</t>
  </si>
  <si>
    <t>https://mefgobpe1.sharepoint.com/:f:/t/DireccindelaOficinadeInfraestructuraTecnolgica/IgC5keBoO6yUTY2pp9YKreusASg9cM4_iBsOqn5zrKc9kHA?e=wC8brs</t>
  </si>
  <si>
    <t>REQ-2026-0020</t>
  </si>
  <si>
    <t>Adquisición de tótem multimedia para la Oficina de Gestión Documental y Atención al Usuario (OGDAU)</t>
  </si>
  <si>
    <t>*084299-2026 (Requerimiento)
**109395-2026 (Apoyo presupuestal)</t>
  </si>
  <si>
    <t>Totem Multimedia</t>
  </si>
  <si>
    <t>0000224-2026</t>
  </si>
  <si>
    <t>HOLIGRAM E.I.R.L</t>
  </si>
  <si>
    <t>*Conformidad (HR 159104-2026)</t>
  </si>
  <si>
    <t>https://mefgobpe1.sharepoint.com/:f:/t/DireccindelaOficinadeInfraestructuraTecnolgica/IgBkEDxQVsnrSZNPX9ZDIeapAZSZtEMhDBEtCdy2R1qrdLs?e=RR4APt</t>
  </si>
  <si>
    <t>REQ-2026-0021</t>
  </si>
  <si>
    <t>Servicio de alquiler de escáneres de alta Producción para la línea de producción de microformas</t>
  </si>
  <si>
    <t>031853-2026</t>
  </si>
  <si>
    <t>Alquiler de escáneres de alta Producción</t>
  </si>
  <si>
    <t>Redes y Comunicaciones</t>
  </si>
  <si>
    <t>Elliot Hans Lindo Claudet</t>
  </si>
  <si>
    <t>Contrato</t>
  </si>
  <si>
    <t>003-2026-EF/43.03/CM</t>
  </si>
  <si>
    <t>https://mefgobpe1.sharepoint.com/:f:/t/DireccindelaOficinadeInfraestructuraTecnolgica/IgByz6DfXvV6SaiSj3QDxmGgAbuEEZLO-att1RGPIFhijJY?e=fhYV1S</t>
  </si>
  <si>
    <t>REQ-2026-0022</t>
  </si>
  <si>
    <t>Nuevo requerimiento (Apoyo técnico AUS)</t>
  </si>
  <si>
    <t>Adquisición de trípodes para uso de captura fotográfica de documentos históricos del Ministerio de Economía y Finanzas</t>
  </si>
  <si>
    <t>109789-2026</t>
  </si>
  <si>
    <t>*Tripode con aro de luz
*Tripode Cenital</t>
  </si>
  <si>
    <t>*0000204-2026
*0000205-2026</t>
  </si>
  <si>
    <t>*INVERSIONES FOTOGRAFICAS DEL PERU S.A.C
*ELECTRONICA MUSICAL SOCIEDAD ANONIMA CERRADA</t>
  </si>
  <si>
    <t>Kevin Alexis Escobar Vega (OGSU)
 kescobar@mef.gob.pe</t>
  </si>
  <si>
    <t>Validación de ofertas, fue enviada por Cesar Muñoz el 15-0626</t>
  </si>
  <si>
    <t>*Conformidad OC 204- HR 142277-2026
*Conformidad OC 205- HR 142311-2026
*03-07-26 OIT brindò su opinion favorable via correo electrònico</t>
  </si>
  <si>
    <t>https://mefgobpe1.sharepoint.com/:f:/t/DireccindelaOficinadeInfraestructuraTecnolgica/IgDky8i02ETlQK-qjRtzCLJNAY7eP5CRffdnZDdkunAdmLo?e=H75nC0</t>
  </si>
  <si>
    <t>REQ-2026-0023</t>
  </si>
  <si>
    <t>Adquisición de lectoras externas de CD/DVD para el Tribunal Fiscal</t>
  </si>
  <si>
    <t>*117491-2026 (Requerimiento)
**111690-2026 (Req inicial)
***114232-2026 (Apoyo presupuestal)</t>
  </si>
  <si>
    <t>Lectoras externas de CD/DVD (30 unidades)</t>
  </si>
  <si>
    <t>0000200-2026</t>
  </si>
  <si>
    <t>RAM STORE S.A.C.</t>
  </si>
  <si>
    <t>Validación de ofertas, fue enviada por Cesar Muñoz el 08-0626</t>
  </si>
  <si>
    <t>*Plazo maximo de entrega 28-06-26
*Conformidad 142198-2026</t>
  </si>
  <si>
    <t>https://mefgobpe1.sharepoint.com/:f:/t/DireccindelaOficinadeInfraestructuraTecnolgica/IgARkGxBhBLuTIDw-AnIkVpjAQdVJ4Q7KQrpsR9OBEzSV3E?e=hICdmD</t>
  </si>
  <si>
    <t>REQ-2026-0024</t>
  </si>
  <si>
    <t>Servicio de suscripción anual a plataforma web para descarga de fotografías, imágenes y vectores</t>
  </si>
  <si>
    <t>099186-2026</t>
  </si>
  <si>
    <t>Freepick - Magnific (02 Unidades)</t>
  </si>
  <si>
    <t>0002992-2026</t>
  </si>
  <si>
    <t>CUBICERP PERU S.R.L.</t>
  </si>
  <si>
    <t>Rosa Alvarado Saavedra, ralvarado@mef.gob.pe / Josue Levano consultor_oc53@mef.gob.pe (Oficina de Comunicaciones)</t>
  </si>
  <si>
    <t>Validación de ofertas, fue enviada por Napoleon Alva el 15-06-26</t>
  </si>
  <si>
    <t>*Plazo maximo de activación 23-06-26
*Conformidad HR 136390-2026</t>
  </si>
  <si>
    <t>https://mefgobpe1.sharepoint.com/:f:/t/DireccindelaOficinadeInfraestructuraTecnolgica/IgDoXKLz4NE9Tqyf56JnMjHPAcHoSL-YGFCuyQgQ-wd8rb8?e=ZAiGSf</t>
  </si>
  <si>
    <t>REQ-2026-0025</t>
  </si>
  <si>
    <t>Adquisición de 300 USB</t>
  </si>
  <si>
    <t>Correo electrónico 05-06-26</t>
  </si>
  <si>
    <t>Dispositivo USB (300 unidades)</t>
  </si>
  <si>
    <t>Dirección General de Programación Multianual de Inversiones</t>
  </si>
  <si>
    <t>No corresponde atención OGTI</t>
  </si>
  <si>
    <t>*No crresponde atención de OGTI, considerando que corresponde a merchandising institucional.
*Se remitió EETT referenciales</t>
  </si>
  <si>
    <t>https://mefgobpe1.sharepoint.com/:f:/t/DireccindelaOficinadeInfraestructuraTecnolgica/IgBLxDtaZfKnRrwzowRjwG-_ASZQ5oP-5uso6q0-otUe3aY?e=M1mghK</t>
  </si>
  <si>
    <t>REQ-2026-0026</t>
  </si>
  <si>
    <t>Adquisición de discos blu-ray para grabación de microformas con valor legal.</t>
  </si>
  <si>
    <t>*133762-2026 (Requerimiento)
**125462-2026 (Req Inicial)</t>
  </si>
  <si>
    <t>Discos Blu-Ray (1500 unidades)</t>
  </si>
  <si>
    <t>Emisión de Conformidad</t>
  </si>
  <si>
    <t>Área Usuaria</t>
  </si>
  <si>
    <t>0000231-2026</t>
  </si>
  <si>
    <t>30-06-26</t>
  </si>
  <si>
    <t>T&amp;G INFORMATICA SOCIEDAD ANONIMA CERRADA</t>
  </si>
  <si>
    <t>*Tramite de Conformidad 153251-2026, area usuaria reportò una observación</t>
  </si>
  <si>
    <t>https://mefgobpe1.sharepoint.com/:f:/t/DireccindelaOficinadeInfraestructuraTecnolgica/IgBXA1N5IM_fSbK-4mBAuULUAebZf_uVcw4YU2bBO9snkQ0?e=zzrCXa</t>
  </si>
  <si>
    <t>REQ-2026-0027</t>
  </si>
  <si>
    <t>Adquisición de Soporte Cooler</t>
  </si>
  <si>
    <t>Correo electrónico 04-06-26</t>
  </si>
  <si>
    <t>Soporte cooler para laptop</t>
  </si>
  <si>
    <t>Pendiente</t>
  </si>
  <si>
    <t>Apoyo presupuestal</t>
  </si>
  <si>
    <t>Con fecha 16-06-26 se remitió por correo, al área usuaria, datos referenciales para revisión</t>
  </si>
  <si>
    <t>https://mefgobpe1.sharepoint.com/:f:/t/DireccindelaOficinadeInfraestructuraTecnolgica/IgA5gBlY8VItRq97esaRWn-MAcTFFz3f8TojpHvQYGpQOXE?e=djA0vM</t>
  </si>
  <si>
    <t>REQ-2026-0028</t>
  </si>
  <si>
    <t>Adquisición de televisores para la Oficina General de Servicios al Usuario (OGSU)</t>
  </si>
  <si>
    <t>125560-2026</t>
  </si>
  <si>
    <t>Televisor (02 unidades)</t>
  </si>
  <si>
    <t>Para reformulación</t>
  </si>
  <si>
    <t>OIT-Soporte Tecnico</t>
  </si>
  <si>
    <t>*Según lo coordinado se tramitará con nueva HR agosto 26</t>
  </si>
  <si>
    <t>https://mefgobpe1.sharepoint.com/:f:/t/DireccindelaOficinadeInfraestructuraTecnolgica/IgBa6v7XUA2jT6nfQhjbJIQhAdGoEhfA_JT7N7P07K2kCj8?e=jm37EK</t>
  </si>
  <si>
    <t>REQ-2026-0029</t>
  </si>
  <si>
    <t>Adquisición de televisores para el Tribunal Fiscal</t>
  </si>
  <si>
    <t>Televisor (01 unidad)</t>
  </si>
  <si>
    <t>REQ-2026-0030</t>
  </si>
  <si>
    <t>Servicio de conectividad de red entre la Sede del Centro de Capacitaciones (CCM) y la sede del ex tribunal fiscal San isidro del Ministerio de Economía y Finanzas</t>
  </si>
  <si>
    <t>I-247338-2025 (Requerimiento)</t>
  </si>
  <si>
    <t>Conectividad de red</t>
  </si>
  <si>
    <t>059-2025-EF/43.03</t>
  </si>
  <si>
    <t>GDT PERÚ S.A</t>
  </si>
  <si>
    <t>https://mefgobpe1.sharepoint.com/:f:/t/DireccindelaOficinadeInfraestructuraTecnolgica/IgA0R5MMthTbQLxbmjQ4a9jDATdvi_mCfsIDW4JFeRnA_r0?e=gtG8Ku</t>
  </si>
  <si>
    <t>REQ-2026-0031</t>
  </si>
  <si>
    <t>Adquisición de accesorios informáticos para equipos de cómputo de la Dirección General de Presupuesto Público</t>
  </si>
  <si>
    <t>105280-2026</t>
  </si>
  <si>
    <t>*Dos (02) Puntero laser inalámbrico para presentación de diapositivas
*Dos (02) Extensores inalámbrico de señal HDMI/VGA
*Diez (10) Memoria Portátil USB con cifrado</t>
  </si>
  <si>
    <t>Proceso de implementación/Activación/Entrega</t>
  </si>
  <si>
    <t>0000239-2026</t>
  </si>
  <si>
    <t>13-07-26</t>
  </si>
  <si>
    <t>RAINFA E.I.R.L.</t>
  </si>
  <si>
    <t>https://mefgobpe1.sharepoint.com/:f:/t/DireccindelaOficinadeInfraestructuraTecnolgica/IgClC0OTToCDT6oGNBM5jfewAeFgWpwpzloVtV_wDB75PUA?e=1HQdlB</t>
  </si>
  <si>
    <t>REQ-2026-0032</t>
  </si>
  <si>
    <t>Adquisición de Auriculares</t>
  </si>
  <si>
    <t>Auriculares</t>
  </si>
  <si>
    <t>Desistido</t>
  </si>
  <si>
    <t>Con fecha 20-05-26, el área usuaria desistió del requerimiento a través de correo electrónico.</t>
  </si>
  <si>
    <t>https://mefgobpe1.sharepoint.com/:f:/t/DireccindelaOficinadeInfraestructuraTecnolgica/IgA90WhNiS2ISL-dyIhAIXhKAWgrgtxNRaQbDF3PoJd1trE?e=0SUbeb</t>
  </si>
  <si>
    <t>REQ-2026-0033</t>
  </si>
  <si>
    <t>Servicio de interconexión mediante enlace de fibra gestionada</t>
  </si>
  <si>
    <t>070507-2026</t>
  </si>
  <si>
    <t>Enlace de fibra entre el CPD principal y el CPD de contingencia</t>
  </si>
  <si>
    <t>Con fecha 22-04-26, el área usuaria (Redes) desistió de requerimiento</t>
  </si>
  <si>
    <t>REQ-2026-0034</t>
  </si>
  <si>
    <t>Adquisición de televisores para la sala de asesores del despacho del MEF</t>
  </si>
  <si>
    <t>092506-2026</t>
  </si>
  <si>
    <t>Televisores (02 unidades)</t>
  </si>
  <si>
    <t>Despacho Ministerial</t>
  </si>
  <si>
    <t>OIT-Jefatura</t>
  </si>
  <si>
    <t>Con fecha 30-04-26, el área usuaria desistió de requerimiento</t>
  </si>
  <si>
    <t>https://mefgobpe1.sharepoint.com/:f:/t/DireccindelaOficinadeInfraestructuraTecnolgica/IgD0BRP6axX4RZWju57kPBYLAfg195MIEez6fBiAsKEFHQ0?e=9E2aRp</t>
  </si>
  <si>
    <t>REQ-2026-0035</t>
  </si>
  <si>
    <t>Servicio de implementación, soporte y mantenimiento de software de gestión de recursos humanos</t>
  </si>
  <si>
    <t>*097913-2026 (Requerimiento)
**083567-2026 (Apoyo presupuestal)</t>
  </si>
  <si>
    <t>Sistema de Gestión de Recursos Humanos</t>
  </si>
  <si>
    <t>012-2026-EF/43.03/CM</t>
  </si>
  <si>
    <t>Informatica y proyectos E.I.R.L</t>
  </si>
  <si>
    <t>*Plazo máximo de implementación 07/08/2026</t>
  </si>
  <si>
    <t>https://mefgobpe1.sharepoint.com/:f:/t/DireccindelaOficinadeInfraestructuraTecnolgica/IgBnvm7wfHfYTa7oXSw1DWjXAUKkhZUZyDEbdETPv5R5BMk?e=8vTbdb</t>
  </si>
  <si>
    <t>REQ-2026-0036</t>
  </si>
  <si>
    <t>Adquisición de equipamiento y licencia de software para la optimización de la plataforma de gestión de colas de la Oficina General de Servicios al Usuario (OGSU)</t>
  </si>
  <si>
    <t>*091410-2026 (Requerimiento)
**079134-2026 (Apoyo presupuestal)
***075012-2026 (Req Inicial)</t>
  </si>
  <si>
    <t>*Dispensador de tickets
*Licencia de software de administración de colas</t>
  </si>
  <si>
    <t>0000176-2026</t>
  </si>
  <si>
    <t>BISSNETCORP S.A.C.</t>
  </si>
  <si>
    <t>*Plazo máximo de implementación 15/08/2026
*Conformidad 127910-2026 (Observado)
*Nueva conformidad 154990-2026
*Solicitud de Ampliacion 157935-2026</t>
  </si>
  <si>
    <t>https://mefgobpe1.sharepoint.com/:f:/t/DireccindelaOficinadeInfraestructuraTecnolgica/IgDLwoyF5lpGQ5jG9Cn-O4x1Ae70d7frLSLOU3QZ6DDmJjw?e=MkM4RD</t>
  </si>
  <si>
    <t>REQ-2026-0037</t>
  </si>
  <si>
    <t>Adquisición de equipamiento y licencia de software para la optimización de la plataforma de gestión de colas del Tribunal Fiscal</t>
  </si>
  <si>
    <t>REQ-2026-0048</t>
  </si>
  <si>
    <t>Procesos de Contratación</t>
  </si>
  <si>
    <t>Servicio De Continuidad Operativa Para Los Equipos De Red Del Ministerio De Economía Y Finanzas</t>
  </si>
  <si>
    <t>Mantenimiento preventivo, soporte especializado y mantenimiento correctivo</t>
  </si>
  <si>
    <t>005-2026-EF/43.03</t>
  </si>
  <si>
    <t>SMART GLOBAL SOCIEDAD ANÓNIMA
CERRADA</t>
  </si>
  <si>
    <t>Se envíara el requerimiento para su continuidad en Julio 2026</t>
  </si>
  <si>
    <t>https://mefgobpe1.sharepoint.com/:f:/t/DireccindelaOficinadeInfraestructuraTecnolgica/IgBfTpEMBO_EQ6wESvhiY_MLAZrBPKth1991sMRDZRtoipI?e=YqP7ZP</t>
  </si>
  <si>
    <t>REQ-2026-0038</t>
  </si>
  <si>
    <t>Servicio de internet inalámbrico portátil (Módem) para el Tribunal Fiscal</t>
  </si>
  <si>
    <t xml:space="preserve"> I-230553-2025</t>
  </si>
  <si>
    <t>Internet Inalámbrico Portátil TF</t>
  </si>
  <si>
    <t>Consultar. Hr indica previsión presupuestal</t>
  </si>
  <si>
    <t>REQ-2026-0039</t>
  </si>
  <si>
    <t>Servicio de escaneo bajo demanda para la Procuraduría Pública y la Plataforma de Atención al usuario del Ministerio de Economía y Finanzas.</t>
  </si>
  <si>
    <t>248761-2025</t>
  </si>
  <si>
    <t>Alquiler de escáneres para procuraduría</t>
  </si>
  <si>
    <t>Se enviara requerimiento para continuidad Oct 2026</t>
  </si>
  <si>
    <t>REQ-2026-0040</t>
  </si>
  <si>
    <t>Servicio de soporte técnico a la infraestructura tecnológica para la atención de alertas detectadas en el equipamiento de almacenamiento de la marca IBM</t>
  </si>
  <si>
    <t>044917-2026</t>
  </si>
  <si>
    <t>Mantenimiento IBM FlashSystem 9200-CPD Principal</t>
  </si>
  <si>
    <t>Computo</t>
  </si>
  <si>
    <t>Rolly Villegas Delgado</t>
  </si>
  <si>
    <t>Anthony Céspedes Molina</t>
  </si>
  <si>
    <t>0002412-2026</t>
  </si>
  <si>
    <t>IT STORAGE EIRL</t>
  </si>
  <si>
    <t>No aplica</t>
  </si>
  <si>
    <t>No Aplica</t>
  </si>
  <si>
    <t>*Plazo máximo de ejecución 07/07/2026
*HR de conformidad 139989-2026</t>
  </si>
  <si>
    <t>https://mefgobpe1.sharepoint.com/:f:/t/DireccindelaOficinadeInfraestructuraTecnolgica/IgCnzxNk-eJ5SYfMig5joajHATNiVaCYfk9WMvuLvUi8HX8?e=PZJj3r</t>
  </si>
  <si>
    <t>REQ-2026-0041</t>
  </si>
  <si>
    <t>Servicio de provisión y gestión de equipamiento para infraestructura de networking</t>
  </si>
  <si>
    <t>070521-2026</t>
  </si>
  <si>
    <t>Provisión de equipamiento networking - CPD Contingencia</t>
  </si>
  <si>
    <t>0001981-2026</t>
  </si>
  <si>
    <t>GTD PERÚ S.A</t>
  </si>
  <si>
    <t>*Entregable 01- 114723-2026</t>
  </si>
  <si>
    <t>https://mefgobpe1.sharepoint.com/:f:/t/DireccindelaOficinadeInfraestructuraTecnolgica/IgAiRw1f-SK6SL9hZ__gV0JPAZMJCyiR2Op7RyTWw4edO2c?e=Ob19Gs</t>
  </si>
  <si>
    <t>REQ-2026-0042</t>
  </si>
  <si>
    <t>Adquisición de dispositivos USB para la DGPMACDF</t>
  </si>
  <si>
    <t>*027113-2026 (Requerimiento)
**087667-2026 (Ref compra Audif)</t>
  </si>
  <si>
    <t>Dispositivo USB (20 unidades)</t>
  </si>
  <si>
    <t>Dirección General de Política Macroeconómica y Descentralización Fiscal</t>
  </si>
  <si>
    <t>*Con fecha 01-06-26, se remitió por correo modelos y precios referenciales.
*Con INFORME N° 0834-2026-EF/44.02 se remitió información referencial</t>
  </si>
  <si>
    <t>https://mefgobpe1.sharepoint.com/:f:/t/DireccindelaOficinadeInfraestructuraTecnolgica/IgCVNZbyk9aoSJ7piqo7XJl0AfIZwHvZejp26QI5X1Gr0Ik?e=dJuPrW</t>
  </si>
  <si>
    <t>REQ-2026-0043</t>
  </si>
  <si>
    <t>Adquisición de proyectores</t>
  </si>
  <si>
    <t>077790-2026</t>
  </si>
  <si>
    <t>Proyector Multimedia (02 unidades)</t>
  </si>
  <si>
    <t>*Con INFORME N° 0680-2026-EF/44.02 se remitió precios referenciales para transferencia presupuestal</t>
  </si>
  <si>
    <t>https://mefgobpe1.sharepoint.com/:f:/t/DireccindelaOficinadeInfraestructuraTecnolgica/IgBUPSsg35-qQp6tZtqKWwwPAb2SNicKo9peNvNYzi6Jkdo?e=bH0dAj</t>
  </si>
  <si>
    <t>REQ-2026-0044</t>
  </si>
  <si>
    <t>Adquisición de dispositivos USB para la Dirección General de Tesoro Público</t>
  </si>
  <si>
    <t>071517-2026</t>
  </si>
  <si>
    <t>Dispositivo USB (60 unidades)</t>
  </si>
  <si>
    <t>Dirección General del Tesoro Público</t>
  </si>
  <si>
    <t>*Con fecha 05-06-26, se remitió por correo modelos y precios referenciales</t>
  </si>
  <si>
    <t>https://mefgobpe1.sharepoint.com/:f:/t/DireccindelaOficinadeInfraestructuraTecnolgica/IgD2flBX7GfSTbMs7KOQ1x80AcrUHCVL3miZVXO0HQRN_Xw?e=HMbsvN</t>
  </si>
  <si>
    <t>REQ-2026-0045</t>
  </si>
  <si>
    <t>Adquisición de Soporte Cooler para ConectaMEF</t>
  </si>
  <si>
    <t>067981-2026</t>
  </si>
  <si>
    <t>*Con INFORME N° 0674-2026-EF/44.02 se remitió precios referenciales para transferencia presupuestal</t>
  </si>
  <si>
    <t>https://mefgobpe1.sharepoint.com/:f:/t/DireccindelaOficinadeInfraestructuraTecnolgica/IgBKbKB4mdN1SbnHlk94zmKFAWpR_Tc_rBU2iTcW91S3K-c?e=TEIgtQ</t>
  </si>
  <si>
    <t>REQ-2026-0049</t>
  </si>
  <si>
    <t>Adquisición de kit de capacitación para ConectaMEF</t>
  </si>
  <si>
    <t>082193-2026</t>
  </si>
  <si>
    <t>*Proyector multimedia
*Camara WEB
*Parlantes
*Maletin</t>
  </si>
  <si>
    <t>*Con INFORME N° 0766-2026-EF/44.02 se remitió precios referenciales para transferencia presupuestal</t>
  </si>
  <si>
    <t>https://mefgobpe1.sharepoint.com/:f:/t/DireccindelaOficinadeInfraestructuraTecnolgica/IgAc7H8GoPbfTr8WCDZnFkZnAaacb9TajeH91vfdbrGth4g?e=zAuHF0</t>
  </si>
  <si>
    <t>REQ-2026-0046</t>
  </si>
  <si>
    <t>Servicio para la provisión de servicios de inteligencia artificial mediante APIs en la nube</t>
  </si>
  <si>
    <t>151979-2026 (Requerimiento)
131349-2026 (Apoyo presupuestal)
143286-2026 (Apoyo presupuestal v2)</t>
  </si>
  <si>
    <t>Azure Open IA</t>
  </si>
  <si>
    <t>Estudio de Mercado</t>
  </si>
  <si>
    <t>OAB</t>
  </si>
  <si>
    <t>*Con Memorando N° 3253 -2026-EF/44.01 se remitió precios referenciales para transferencia presupuestal</t>
  </si>
  <si>
    <t>https://mefgobpe1.sharepoint.com/:f:/t/DireccindelaOficinadeInfraestructuraTecnolgica/IgAsBDCJ9xclRbhEFK5UxzHqATql7VV08pXZIbXrDfZyuAk?e=efmGad</t>
  </si>
  <si>
    <t>REQ-2026-0047</t>
  </si>
  <si>
    <t>Servicio de suscripción a plataforma en la nube de inteligencia artificial generativa para el desarrollo de soluciones digitales</t>
  </si>
  <si>
    <t>113265-2026 (Requerimiento)
131349-2026 (Apoyo presupuestal)
143286-2026 (Apoyo presupuestal v2)</t>
  </si>
  <si>
    <t>Cloude Code IA</t>
  </si>
  <si>
    <t>Revisión OAB</t>
  </si>
  <si>
    <t>https://mefgobpe1.sharepoint.com/:f:/t/DireccindelaOficinadeInfraestructuraTecnolgica/IgD6JLj_wjUgRJ2H1glPSFJGAasqmd1zXLL-AaCy1G5coZw?e=ydeWx0</t>
  </si>
  <si>
    <t>REQ-2026-0050</t>
  </si>
  <si>
    <t>Complementario</t>
  </si>
  <si>
    <t>Servicio de alquiler de equipos de computo portátiles a demanda</t>
  </si>
  <si>
    <t>169540-2025</t>
  </si>
  <si>
    <t>Alquiler de laptops</t>
  </si>
  <si>
    <t>Ministerio de Economía y Finanzas</t>
  </si>
  <si>
    <t>Contrato complementario</t>
  </si>
  <si>
    <t>006-2024-EF/43.03</t>
  </si>
  <si>
    <t>Corporacion Winware S.A.C</t>
  </si>
  <si>
    <t>*Conformidad HR 132908-2026 (Periodo 06-05-2026 al 05-06-2026)
*Fecha fin vigencia es aproximado</t>
  </si>
  <si>
    <t>https://mefgobpe1.sharepoint.com/:f:/t/DireccindelaOficinadeInfraestructuraTecnolgica/IgATdf9CJN8cQbQcvblcs8u0ATMqLMN04WtNZ6TgjWlgCPw?e=d0qxUi</t>
  </si>
  <si>
    <t>REQ-2026-0052</t>
  </si>
  <si>
    <t xml:space="preserve">Servicio de mantenimiento preventivo y correctivo de los equipos capturadores de imagen del Tribunal Fiscal </t>
  </si>
  <si>
    <t>069485-2023</t>
  </si>
  <si>
    <t>Mantenimiento preventivo y correctivo de escaneres del Tribunal Fiscal</t>
  </si>
  <si>
    <t>015 -2024-EF/43.03/ASP</t>
  </si>
  <si>
    <t>2BM
COMPANY E.I.R.L.</t>
  </si>
  <si>
    <t>*Conformidad HR 090980-2026 (5to trimestre)</t>
  </si>
  <si>
    <t>https://mefgobpe1.sharepoint.com/:f:/t/DireccindelaOficinadeInfraestructuraTecnolgica/IgAyYKR9Rz3GTqRhpARK_UGzAaAiC3mq1StM2p9W0NbDjMI?e=rVekIq</t>
  </si>
  <si>
    <t>REQ-2026-0051</t>
  </si>
  <si>
    <t>Servicio de internet inalámbrico portátil para el Ministerio de Economía y Finanzas (MEF)</t>
  </si>
  <si>
    <t>119855-2026</t>
  </si>
  <si>
    <t>Internet Inalámbrico Portátil MEF</t>
  </si>
  <si>
    <t xml:space="preserve"> N° 015-2026-EF/43.03/CM</t>
  </si>
  <si>
    <t>Edgar Aguilar Pérez</t>
  </si>
  <si>
    <t>Ref. Contrato N° 006-2025-EF/43.03/CM</t>
  </si>
  <si>
    <t xml:space="preserve">En proceso de la entrega de los dispositivos inalambricos y activación del servicio </t>
  </si>
  <si>
    <t>https://mefgobpe1.sharepoint.com/:f:/t/DireccindelaOficinadeInfraestructuraTecnolgica/IgDjhjGF19JDRIeDwDUfIO7FAev45khWbVZ8VK4cB271cGM?e=U1nujC</t>
  </si>
  <si>
    <t>REQ-2026-0053</t>
  </si>
  <si>
    <t>Servicio de soporte técnico para la recuperación del dispositivo contenedor de respaldos IBM</t>
  </si>
  <si>
    <r>
      <rPr>
        <b/>
        <sz val="9"/>
        <color rgb="FF000000"/>
        <rFont val="Arial"/>
      </rPr>
      <t>124367-2026</t>
    </r>
    <r>
      <rPr>
        <sz val="9"/>
        <color rgb="FF000000"/>
        <rFont val="Arial"/>
      </rPr>
      <t xml:space="preserve"> (Requerimiento)
131349-2026</t>
    </r>
    <r>
      <rPr>
        <b/>
        <sz val="9"/>
        <color rgb="FF000000"/>
        <rFont val="Arial"/>
      </rPr>
      <t xml:space="preserve"> </t>
    </r>
    <r>
      <rPr>
        <sz val="9"/>
        <color rgb="FF000000"/>
        <rFont val="Arial"/>
      </rPr>
      <t>(Apoyo presupuestal)</t>
    </r>
  </si>
  <si>
    <t>Mantenimiento correctivo Storage IBM</t>
  </si>
  <si>
    <t>EL REQUERIMIENTO SE ATENDERÁ CON LA CONTRATACIÓN DEL SERVICIO DE GARANTÍA EXTENDIDA DE IBM QUE YA ESTÁ EN PROCESO CON HR 009025-2026.</t>
  </si>
  <si>
    <t>https://mefgobpe1.sharepoint.com/:f:/t/DireccindelaOficinadeInfraestructuraTecnolgica/IgCg747yJeBUTKCdhcPm7-mBAX9LiZoZbY3IE0iFTh64jTg?e=TdPR2U</t>
  </si>
  <si>
    <t>REQ-2026-0054</t>
  </si>
  <si>
    <t xml:space="preserve">Servicio de Mantenimiento Preventivo y Correctivo de la Central Telefónica marca Alcatel-Lucent, modelo OMNIPCX Enterprise “o equivalente” del MEF </t>
  </si>
  <si>
    <t>098165-2026 (Requerimiento)
131349-2026 (Apoyo presupuestal)</t>
  </si>
  <si>
    <t>Mantenimiento preventivo y correctivo Central Telefonica Alcatel-Lucent</t>
  </si>
  <si>
    <t>OGTI</t>
  </si>
  <si>
    <t>https://mefgobpe1.sharepoint.com/:f:/t/DireccindelaOficinadeInfraestructuraTecnolgica/IgAfm3sUuE2QSrQPsgMB-VRcAWR5KZowvjZjVPZ4sAyd1yw?e=c931SK</t>
  </si>
  <si>
    <t>REQ-2026-0055</t>
  </si>
  <si>
    <t>Servicio de soporte técnico para la plataforma virtual de infraestructura de TI de la marca VMWARE BY
BROADCOM</t>
  </si>
  <si>
    <r>
      <rPr>
        <b/>
        <sz val="9"/>
        <color rgb="FF000000"/>
        <rFont val="Arial"/>
      </rPr>
      <t xml:space="preserve">151365-2026 (Requerimiento)
</t>
    </r>
    <r>
      <rPr>
        <sz val="9"/>
        <color rgb="FF000000"/>
        <rFont val="Arial"/>
      </rPr>
      <t>131349-2026 (Apoyo presupuestal)
096068-2026 (Requerimiento inicial)</t>
    </r>
  </si>
  <si>
    <t>Soporte horas - VMWARE By Broadcom</t>
  </si>
  <si>
    <t xml:space="preserve">En tramite </t>
  </si>
  <si>
    <t>https://mefgobpe1.sharepoint.com/:f:/t/DireccindelaOficinadeInfraestructuraTecnolgica/IgDYbygM1TKCTaKjM2TxGG1GAUtmVpnsR3k6dcpXEvhYdUY?e=lsBvaX</t>
  </si>
  <si>
    <t>REQ-2026-0056</t>
  </si>
  <si>
    <r>
      <t xml:space="preserve">Servicio de transmisión de datos para los CONECTAMEF a nivel nacional. </t>
    </r>
    <r>
      <rPr>
        <b/>
        <sz val="9"/>
        <color rgb="FF000000"/>
        <rFont val="Arial"/>
        <family val="2"/>
      </rPr>
      <t>ÍTEM 1:</t>
    </r>
    <r>
      <rPr>
        <sz val="9"/>
        <color rgb="FF000000"/>
        <rFont val="Arial"/>
        <family val="2"/>
      </rPr>
      <t xml:space="preserve"> Servicio de transmisión de datos para los CONECTAMEF </t>
    </r>
    <r>
      <rPr>
        <b/>
        <sz val="9"/>
        <color rgb="FF000000"/>
        <rFont val="Arial"/>
        <family val="2"/>
      </rPr>
      <t xml:space="preserve">Principal
</t>
    </r>
    <r>
      <rPr>
        <sz val="9"/>
        <color rgb="FF000000"/>
        <rFont val="Arial"/>
        <family val="2"/>
      </rPr>
      <t>CP SER-SM-1-2026-EF/43-1</t>
    </r>
  </si>
  <si>
    <r>
      <rPr>
        <sz val="11"/>
        <color rgb="FF000000"/>
        <rFont val="Aptos Narrow"/>
        <scheme val="minor"/>
      </rPr>
      <t xml:space="preserve">
261474-2025 (Requerimiento)
111575-2026 (Apoyo Presupuestal)
</t>
    </r>
    <r>
      <rPr>
        <b/>
        <sz val="9"/>
        <color rgb="FF000000"/>
        <rFont val="Arial"/>
      </rPr>
      <t>*150342-2026 (Contrato)</t>
    </r>
  </si>
  <si>
    <t>Transmisión de datos- CONECTAMEF a nivel nacional- Item1 Principal</t>
  </si>
  <si>
    <t>OIT-Redes y Comunicaciones</t>
  </si>
  <si>
    <t>N° 042-2026-EF/43.03</t>
  </si>
  <si>
    <t xml:space="preserve">Son 69 días de implementación + 10 días del acta de activación, luego iniciaria el servicio </t>
  </si>
  <si>
    <t>https://mefgobpe1.sharepoint.com/:f:/t/DireccindelaOficinadeInfraestructuraTecnolgica/IgCzqnpWYXwQRoTRJy4Ukaz-Aft5ctBNoB3Tm9DuplAl7P0?e=TbLOBC</t>
  </si>
  <si>
    <t>REQ-2026-0057</t>
  </si>
  <si>
    <r>
      <t xml:space="preserve">Servicio de transmisión de datos para los CONECTAMEF a nivel nacional. </t>
    </r>
    <r>
      <rPr>
        <b/>
        <sz val="9"/>
        <color rgb="FF000000"/>
        <rFont val="Arial"/>
        <family val="2"/>
      </rPr>
      <t>ÍTEM 1:</t>
    </r>
    <r>
      <rPr>
        <sz val="9"/>
        <color rgb="FF000000"/>
        <rFont val="Arial"/>
        <family val="2"/>
      </rPr>
      <t xml:space="preserve"> Servicio de transmisión de datos para los CONECTAMEF principal- </t>
    </r>
    <r>
      <rPr>
        <b/>
        <sz val="9"/>
        <color rgb="FF000000"/>
        <rFont val="Arial"/>
        <family val="2"/>
      </rPr>
      <t>COMPLEMENTARIO</t>
    </r>
  </si>
  <si>
    <t>262254-2025</t>
  </si>
  <si>
    <t>Transmisión de datos- CONECTAMEF a nivel nacional- Item1 Complementario</t>
  </si>
  <si>
    <t xml:space="preserve"> N° 001 -2026-EF/43.03</t>
  </si>
  <si>
    <t>CONSORCIO AMERICATEL PERÚ S.A
&amp; ENTEL PERÚ S.A.</t>
  </si>
  <si>
    <t xml:space="preserve"> </t>
  </si>
  <si>
    <t>REQ-2026-0058</t>
  </si>
  <si>
    <r>
      <t xml:space="preserve">Servicio de Transmisión de datos para los CONECTAMEF A Nivel Nacional </t>
    </r>
    <r>
      <rPr>
        <b/>
        <sz val="9"/>
        <color rgb="FF000000"/>
        <rFont val="Arial"/>
        <family val="2"/>
      </rPr>
      <t>-ITEM N° 2</t>
    </r>
    <r>
      <rPr>
        <sz val="9"/>
        <color rgb="FF000000"/>
        <rFont val="Arial"/>
        <family val="2"/>
      </rPr>
      <t xml:space="preserve">: Servicio de Transmisión de datos para los CONECTAMEF A Nivel Nacional </t>
    </r>
    <r>
      <rPr>
        <b/>
        <sz val="9"/>
        <color rgb="FF000000"/>
        <rFont val="Arial"/>
        <family val="2"/>
      </rPr>
      <t>Principal</t>
    </r>
  </si>
  <si>
    <r>
      <t xml:space="preserve">261474-2025 (Requerimiento)
111575-2026 (Apoyo Presupuestal)     </t>
    </r>
    <r>
      <rPr>
        <b/>
        <sz val="9"/>
        <color theme="1"/>
        <rFont val="Arial"/>
        <family val="2"/>
      </rPr>
      <t>*150353-2026 (Contrato)</t>
    </r>
  </si>
  <si>
    <t>Transmisión de datos- CONECTAMEF a nivel nacional- Item 2 Secundario</t>
  </si>
  <si>
    <t xml:space="preserve"> N° 043-2026-EF/43.03</t>
  </si>
  <si>
    <t>GTD PERÚ S.A.</t>
  </si>
  <si>
    <t>REQ-2026-0059</t>
  </si>
  <si>
    <r>
      <t xml:space="preserve">Servicio de Transmisión de datos para los CONECTAMEF A Nivel Nacional </t>
    </r>
    <r>
      <rPr>
        <b/>
        <sz val="9"/>
        <color rgb="FF000000"/>
        <rFont val="Arial"/>
        <family val="2"/>
      </rPr>
      <t>-ITEM N° 2</t>
    </r>
    <r>
      <rPr>
        <sz val="9"/>
        <color rgb="FF000000"/>
        <rFont val="Arial"/>
        <family val="2"/>
      </rPr>
      <t xml:space="preserve">: Servicio de Transmisión de datos para los CONECTAMEF A Nivel Nacional- </t>
    </r>
    <r>
      <rPr>
        <b/>
        <sz val="9"/>
        <color rgb="FF000000"/>
        <rFont val="Arial"/>
        <family val="2"/>
      </rPr>
      <t>COMPLEMENTARIO</t>
    </r>
  </si>
  <si>
    <t>043898-2026</t>
  </si>
  <si>
    <t>Transmisión de datos- CONECTAMEF a nivel nacional- Item 2 Secundario COMPLEMENTARIO</t>
  </si>
  <si>
    <t>N.º 014-2026-EF/43.03</t>
  </si>
  <si>
    <t>CONTRATACIÓN COMPLEMENTARIA: CONTRATO N° 101-2023-EF/43.03</t>
  </si>
  <si>
    <t>REQ-2026-0059- Transm. datos CONECTAMEF(complementario)</t>
  </si>
  <si>
    <t>REQ-2026-0060</t>
  </si>
  <si>
    <t>Servicio de suscripción de licencias de software para la creación, diseño y edición de gráficos, audio y video de la marca adobe creative cloud</t>
  </si>
  <si>
    <t>158572-2025</t>
  </si>
  <si>
    <t>Adobe Creative Cloud Pro for teams</t>
  </si>
  <si>
    <t>093-2025-EF/43.03</t>
  </si>
  <si>
    <t>DATA CLOUD TECHNOLOGY S.A.C.</t>
  </si>
  <si>
    <t>HR de conformidad 241293-2025 / 247184-2025</t>
  </si>
  <si>
    <t>https://mefgobpe1.sharepoint.com/:f:/t/DireccindelaOficinadeInfraestructuraTecnolgica/IgBtK6uPW3S7SZhwksSHI3nJAdWej7VDdzuGOMEHsdLr9CA?e=fCIs7m</t>
  </si>
  <si>
    <t>REQ-2026-0061</t>
  </si>
  <si>
    <t xml:space="preserve">Servicio de suscripción de licencias de Software de análisis y visualización de datos estadísticos basados en inteligencia de negocios para el MEF. </t>
  </si>
  <si>
    <t>178898-2025</t>
  </si>
  <si>
    <t>Power BI Premium (04 Unidades)</t>
  </si>
  <si>
    <t>0003795-2025</t>
  </si>
  <si>
    <t>ARGOSYSTEMS PERU S.R.L.</t>
  </si>
  <si>
    <t>HR de conformidad 198009-2025 / 197203-2025</t>
  </si>
  <si>
    <t>https://mefgobpe1.sharepoint.com/:f:/t/DireccindelaOficinadeInfraestructuraTecnolgica/IgAEewIqEfzdT7p2uxd-rSgwAam28LF-LGdBOGV8EOP4pMc?e=vDKb8S</t>
  </si>
  <si>
    <t>REQ-2026-0062</t>
  </si>
  <si>
    <t>196585-2025</t>
  </si>
  <si>
    <t>Power BI Premium (32 Unidades)</t>
  </si>
  <si>
    <t>Carlos Joet Ortiz Alberca</t>
  </si>
  <si>
    <t>Julio Arturo Molina Garate</t>
  </si>
  <si>
    <t>Oficina de Gobierno de TI</t>
  </si>
  <si>
    <t>0004381-2025</t>
  </si>
  <si>
    <t>NOVENTIQ INTERNATIONAL PERU S.A.C.</t>
  </si>
  <si>
    <t>HR Conformidad 249900-2025</t>
  </si>
  <si>
    <t>https://mefgobpe1.sharepoint.com/:f:/t/DireccindelaOficinadeInfraestructuraTecnolgica/IgATPnWtIVx9TYyaUbZxoGNrAShB4oFjXi_wDLFKkfM7rvk?e=8wdEbS</t>
  </si>
  <si>
    <t>REQ-2026-0063</t>
  </si>
  <si>
    <t>Servicio de Call Center Cloud para el Tribunal Fiscal</t>
  </si>
  <si>
    <t>035208-2026</t>
  </si>
  <si>
    <t>Call Center Cloud</t>
  </si>
  <si>
    <t>009-2026-EF/43.03/CM</t>
  </si>
  <si>
    <t>CONVERGIA PERÚ S.A.</t>
  </si>
  <si>
    <t>*Conformidad de implementación (HR 125846-2026)
*Primer entregable 154417-2026</t>
  </si>
  <si>
    <t>https://mefgobpe1.sharepoint.com/:f:/t/DireccindelaOficinadeInfraestructuraTecnolgica/IgDqFzf3p96_TpqhIzJb69WFAcVnyOdZVks59rBK1UIX7ck?e=TVt1xq</t>
  </si>
  <si>
    <t>REQ-2026-0064</t>
  </si>
  <si>
    <t>Servicio de Telefonía Fija para el Ministerio de Economía y Finanzas</t>
  </si>
  <si>
    <t>042873-2025</t>
  </si>
  <si>
    <t>Telefonia Fija</t>
  </si>
  <si>
    <t>025-2025-EF/43.03</t>
  </si>
  <si>
    <t>AMERICA MOVIL PERU S.A.C.</t>
  </si>
  <si>
    <t>Conformidad 6to periodo (HR 135000-2026)</t>
  </si>
  <si>
    <t>https://mefgobpe1.sharepoint.com/:f:/t/DireccindelaOficinadeInfraestructuraTecnolgica/IgA06S8IqzsVTrMJUXIyaH6VAYxFim3b8i0XgEClJ2DmMpo?e=yQUdoq</t>
  </si>
  <si>
    <t>REQ-2026-0065</t>
  </si>
  <si>
    <t>Adquisicion de equipos telefonicos IP MEF</t>
  </si>
  <si>
    <t>099268-2026 (Recopilacion de Información)</t>
  </si>
  <si>
    <t>Telefonos IP</t>
  </si>
  <si>
    <t>Sin tramitar</t>
  </si>
  <si>
    <t>*Con HR 099268-2026 se recopiló necesidad de area usuarias</t>
  </si>
  <si>
    <t>https://mefgobpe1.sharepoint.com/:f:/t/DireccindelaOficinadeInfraestructuraTecnolgica/IgCryDhwWlIWRL82n3CyOgHoAay5kz3yABm4oo8TpwKpU6s?e=549TPk</t>
  </si>
  <si>
    <t>REQ-2026-0066</t>
  </si>
  <si>
    <t>Adquisición de amplificadores de voz portátiles con micrófono inalámbrico</t>
  </si>
  <si>
    <t>Correo electrónico 25-06-26</t>
  </si>
  <si>
    <t>Partelante portatil con Microfono</t>
  </si>
  <si>
    <t>Cesar Augusto Muñoz Escalante</t>
  </si>
  <si>
    <t>Revisión área usuaria</t>
  </si>
  <si>
    <t>*Con fecha 08-07-26 OIT remitió EETT visadas a OGSU mediante correo</t>
  </si>
  <si>
    <t>https://mefgobpe1.sharepoint.com/:f:/t/DireccindelaOficinadeInfraestructuraTecnolgica/IgCISC5P3434QL2cRUmiD_NWAenWseAb4gJ_7QE8s7hDNeo?e=1bwG3P</t>
  </si>
  <si>
    <t>REQ-2026-0067</t>
  </si>
  <si>
    <t>Servicio de suscripción de licencias de Software de virtualización y soporte técnico de la marca VMWARE by Broadcom</t>
  </si>
  <si>
    <t>009604-2026 (Requerimiento inicial)</t>
  </si>
  <si>
    <t>Suscripcion VMWare (1144 cores)</t>
  </si>
  <si>
    <t>No se continuó con contratación por falta de presupuesto</t>
  </si>
  <si>
    <t>https://mefgobpe1.sharepoint.com/:f:/t/DireccindelaOficinadeInfraestructuraTecnolgica/IgARXzrnIH60T50VMCHG14aIAcThDyGkT2wZE686IqHqDAk?e=vGr0AS</t>
  </si>
  <si>
    <t>REQ-2026-0068</t>
  </si>
  <si>
    <t>Servicio de respaldo en nube para entornos Office 365</t>
  </si>
  <si>
    <t>*009518-2026 (Requerimiento Inicial v2)
*158566-2025 (Requerimiento Inicial v1)</t>
  </si>
  <si>
    <t>Acronis / VeamBackup 365</t>
  </si>
  <si>
    <t>Willinhton Walter De la Cruz Pinedo</t>
  </si>
  <si>
    <t>https://mefgobpe1.sharepoint.com/:f:/t/DireccindelaOficinadeInfraestructuraTecnolgica/IgCgcRC8W-wMTq6ekZb_lSpLAeDJFqC-bcRW_kCo81Z8vlQ?e=JwNwPp</t>
  </si>
  <si>
    <t>REQ-2026-0069</t>
  </si>
  <si>
    <t xml:space="preserve">Servicio de garantía extendida y soporte técnico para el equipamiento y software de la marca IBM de los Centros de Procesamiento de Datos del Ministerio de Economía y Finanzas </t>
  </si>
  <si>
    <t>009025-2026 (Requerimiento inicial)</t>
  </si>
  <si>
    <t>Garantia Extendida y soporte técnico IBM</t>
  </si>
  <si>
    <t>OIT-Computo</t>
  </si>
  <si>
    <t>Se realizará una nueva convocatoria según Memo Circular N° 0043-2026</t>
  </si>
  <si>
    <t>https://mefgobpe1.sharepoint.com/:f:/t/DireccindelaOficinadeInfraestructuraTecnolgica/IgDtya5wjZvOQrpwSRq7ahDIAaLQooeG3qKCmqho78GFs2o?e=qsBxDo</t>
  </si>
  <si>
    <t>REQ-2026-0070</t>
  </si>
  <si>
    <t>Servicio de garantía extendida y soporte técnico para el equipamiento y software de la marca LENOVO de los Centros de Procesamiento de Datos del Ministerio
de Economía y Finanzas</t>
  </si>
  <si>
    <t>*009138-2026 (Requerimiento)
*135916-2026 (Revision Contrato)</t>
  </si>
  <si>
    <t>Garantia Extendida y soporte técnico Lenovo</t>
  </si>
  <si>
    <t>037-2026-EF/43.03</t>
  </si>
  <si>
    <t>GRUPO SYPSA S.A.C.</t>
  </si>
  <si>
    <t>*HR 135916-2026 (Remision de contrato)
*Fecha maxima de activación de servicio 14-07-26</t>
  </si>
  <si>
    <t>https://mefgobpe1.sharepoint.com/:f:/t/DireccindelaOficinadeInfraestructuraTecnolgica/IgCJvVR_i2E3TqrTRjmHWYTAAU3UGXcMVcMOZXjAFDZVMQQ?e=aGZlCY</t>
  </si>
  <si>
    <t>REQ-2026-0071</t>
  </si>
  <si>
    <t>Servicio de notificaciones masivas a través de la plataforma de comunicaciones en nube de la marca INFOBIP</t>
  </si>
  <si>
    <t>009170-2026 (Requerimiento)</t>
  </si>
  <si>
    <t>INFOBIP (Email, SMS, Ips, numero corto y soporte)</t>
  </si>
  <si>
    <t>Edgar Hernández Sandoval</t>
  </si>
  <si>
    <t>029-2026-EF/43.03</t>
  </si>
  <si>
    <t>https://mefgobpe1.sharepoint.com/:f:/t/DireccindelaOficinadeInfraestructuraTecnolgica/IgBcfKaQe5wET66chWXXDkXQAfpJxinlTvEBOEqBY1P8uhs?e=mddoCs</t>
  </si>
  <si>
    <t>REQ-2026-0072</t>
  </si>
  <si>
    <t>Servicio de soporte especializado para la solución de protección de base de datos Oracle</t>
  </si>
  <si>
    <t>015123-2026 (Requerimiento)</t>
  </si>
  <si>
    <t>Soporte Zero Data Loss Recovery Appliance (ZDLRA) (100 horas)</t>
  </si>
  <si>
    <t>Lidia Tinco Rojas</t>
  </si>
  <si>
    <t>0001421-2026</t>
  </si>
  <si>
    <t>VALMER SYSTEMS S.A.C.</t>
  </si>
  <si>
    <t>https://mefgobpe1.sharepoint.com/:f:/t/DireccindelaOficinadeInfraestructuraTecnolgica/IgBR4lvj-uB6S7Y0W925_VQ1AaYFbVA7f4ZgU2Iu9i5IpjM?e=2X5gHQ</t>
  </si>
  <si>
    <t>REQ-2026-0073</t>
  </si>
  <si>
    <t xml:space="preserve">Servicio de garantía extendida y soporte técnico para el equipamiento de la marca CISCO de los Centros de Procesamiento de Datos del Ministerio de Economía y Finanzas </t>
  </si>
  <si>
    <t>009305-2026 (Requerimiento)</t>
  </si>
  <si>
    <t>Garantia Extendida y soporte técnico CISCO</t>
  </si>
  <si>
    <t>026-2026-EF/43.03</t>
  </si>
  <si>
    <t>TAYLOR NETWORKS E.I.R.L</t>
  </si>
  <si>
    <t>https://mefgobpe1.sharepoint.com/:f:/t/DireccindelaOficinadeInfraestructuraTecnolgica/IgBNFoeESGWkSpYPorps2a4YAWBoil3bcT0gNKU7-Whv00A?e=zKkBeZ</t>
  </si>
  <si>
    <t>REQ-2026-0074</t>
  </si>
  <si>
    <t xml:space="preserve">Servicio de renovación de soporte técnico y actualización de software 
de gestión de contenido empresarial - LASERFICHE </t>
  </si>
  <si>
    <t>015148-2026 (Requerimiento)</t>
  </si>
  <si>
    <t>Soporte LaserFiche Rio (25 unidades)</t>
  </si>
  <si>
    <t>Oficina General de Inversiones y Proyectos</t>
  </si>
  <si>
    <t>0001267-2026</t>
  </si>
  <si>
    <t>LINK-SOFT SOLUTIONS S.A.C.</t>
  </si>
  <si>
    <t>Conformidad emitida con HR 063624-2026</t>
  </si>
  <si>
    <t>https://mefgobpe1.sharepoint.com/:f:/t/DireccindelaOficinadeInfraestructuraTecnolgica/IgCKUOh6eb7WT6u4yXs-FljeAUz_cQAYKops0YotIrBgd48?e=dw6Xxx</t>
  </si>
  <si>
    <t>REQ-2026-0075</t>
  </si>
  <si>
    <t>Servicio de suscripción de una herramienta de seguridad para la inspección de protocolo HTTP y HTTPS en servicios Web.</t>
  </si>
  <si>
    <t>159952-2025 (Requerimiento)</t>
  </si>
  <si>
    <t>(3) Suscripciones para una herramienta de seguridad para HTTP Y HPTTPS</t>
  </si>
  <si>
    <t>CSIRT</t>
  </si>
  <si>
    <t>Samuel Segismundo Ascona Fabian</t>
  </si>
  <si>
    <t>0003606-2025</t>
  </si>
  <si>
    <t>IMPERIA SOLUCIONES TECNOLOGICAS S.A.C</t>
  </si>
  <si>
    <t>Se debe renovar el servicio</t>
  </si>
  <si>
    <t xml:space="preserve"> Conformidad emitida con HR 179920-2025 (Constancia de vigencia, acta de activación)</t>
  </si>
  <si>
    <t>https://mefgobpe1.sharepoint.com/:f:/t/DireccindelaOficinadeInfraestructuraTecnolgica/IgB3mKwdSVA2T5wKzIHJsWfUAdgF98kQq88aamvh6DryXbs?e=BIBuXh</t>
  </si>
  <si>
    <t>REQ-2026-0076</t>
  </si>
  <si>
    <t>Servicio de Suscripción de Base de Datos de IPs para análisis.</t>
  </si>
  <si>
    <t>159934-2025 (Requerimiento)</t>
  </si>
  <si>
    <t>Servicio de suscripción a base de datos de geolocalización y reputación de direcciones IP</t>
  </si>
  <si>
    <t>0003946-2025</t>
  </si>
  <si>
    <t>E &amp; C IT CONSULTING S.A.C.</t>
  </si>
  <si>
    <t xml:space="preserve"> Conformidad emitida con HR 208549-2025 (Constancia de vigencia, acta de activación)</t>
  </si>
  <si>
    <t>https://mefgobpe1.sharepoint.com/:f:/t/DireccindelaOficinadeInfraestructuraTecnolgica/IgCZfdoRJQEjTZA8j_BahpN3AUpN14mf8I4NGsL7vUXEjEA?e=CMsvIN</t>
  </si>
  <si>
    <t>REQ-2026-0077</t>
  </si>
  <si>
    <t>Servicio de certificación digital para los
servidores de aplicaciones web.</t>
  </si>
  <si>
    <t>236128-2025 (Requerimiento)</t>
  </si>
  <si>
    <t xml:space="preserve">*Dos (2) certificados Multidominio de Validación Organizacional (OV)                   *Tres (4) certificados Wildcard de Validación Organizacional (OV)                                            *Un (1) certificado Multidominio de Validación Organizacional (OV) </t>
  </si>
  <si>
    <t>N° 020-2025-EF/43.03/CM</t>
  </si>
  <si>
    <t>BMTECH–PERU S.A.C.</t>
  </si>
  <si>
    <t xml:space="preserve"> Conformidad emitida con HR 273465-2025 (Constancia de vigencia, acta de activación)</t>
  </si>
  <si>
    <t>https://mefgobpe1.sharepoint.com/:f:/t/DireccindelaOficinadeInfraestructuraTecnolgica/IgALnri0K4bkQIf3VpYYQelYAVTnNZocbq87l6yffcx2SkA?e=hetzlk</t>
  </si>
  <si>
    <t>REQ-2026-0078</t>
  </si>
  <si>
    <t>Servicio de Diseño, Implementación y Puesta en marcha de un Intermediario Local Inteligente para SMTP.</t>
  </si>
  <si>
    <t>236067-2025 (Requerimiento)</t>
  </si>
  <si>
    <t>Servicio para mejorar la entrega de correos mediante la aplicación de estandares internacionales.</t>
  </si>
  <si>
    <t>N° 068-2025-EF/43.03/CM</t>
  </si>
  <si>
    <t>SFI
NETWORKS E.I.R.L.</t>
  </si>
  <si>
    <t xml:space="preserve"> Conformidad emitida con HR 038378-2026 (documentos del servicio)</t>
  </si>
  <si>
    <t>https://mefgobpe1.sharepoint.com/:f:/t/DireccindelaOficinadeInfraestructuraTecnolgica/IgDop4EtC8mqSYFLAcKhpXMYAdsWAcGnWU29Igcxrklqphw?e=xKAPMy</t>
  </si>
  <si>
    <t>REQ-2026-0079</t>
  </si>
  <si>
    <t xml:space="preserve">Servicio de acompañamiento en la ejecución de pruebas de desempeño del sistema de climatización de la sala del MEF conforme con las observaciones indicadas en el reporte del Uptime Institute para la certificación TCCF del centro de datos de contingencia del MEF en las instalaciones del Banco de la Nación. </t>
  </si>
  <si>
    <t>028144-2026</t>
  </si>
  <si>
    <t>Servicio para levantamiento de observaciones UPTIME INSTITUTE.</t>
  </si>
  <si>
    <t>0001382-2026</t>
  </si>
  <si>
    <t>UNITY PERU S.A.C.</t>
  </si>
  <si>
    <t>*04/05/2026 Se comunica cierre de observaciones.
*107772-2026 Entregable 01 (Observado)
*120499-2026 Entregable 01 (Reiteracion Observacion)
*130216-2026 Entregable 01(
(2do reiteracion)
*142488-2026 Entregable 01 - Conformidad</t>
  </si>
  <si>
    <t>https://mefgobpe1.sharepoint.com/:f:/t/DireccindelaOficinadeInfraestructuraTecnolgica/IgBckAwoLFIfQp2kcwvZTz6NAWHxK0pOrYxyORTneN9mowA?e=ulgaj7</t>
  </si>
  <si>
    <t>REQ-2026-0080</t>
  </si>
  <si>
    <t xml:space="preserve">Servicio de ingeniería para la actualización y adecuación de la documentación técnica para subsanar las observaciones emitidas en  el reporte del Uptime Institute para la certificación TCCF. </t>
  </si>
  <si>
    <t>009490-2026</t>
  </si>
  <si>
    <t>Servicio de actualización de documentos - observaciones UPTIME INSTITUTE</t>
  </si>
  <si>
    <t>001-2026-EF/43.03/CM</t>
  </si>
  <si>
    <t>DATA CENTER CONSULTORES S.A.</t>
  </si>
  <si>
    <t>*04/05/2026 Se comunica cierre de observaciones.
*Conformidad emitida con HR 107615-2026</t>
  </si>
  <si>
    <t>https://mefgobpe1.sharepoint.com/:f:/t/DireccindelaOficinadeInfraestructuraTecnolgica/IgA0Cynp2Az3TbWnKVf71hZkAYNkX8WGY040DyPcF0wALZk?e=a4xHjb</t>
  </si>
  <si>
    <t>REQ-2026-0081</t>
  </si>
  <si>
    <t>Servicio de suscripciones para productos Red Hat del MEF</t>
  </si>
  <si>
    <t>150145-2025</t>
  </si>
  <si>
    <t>*Suscripciones Red Hat Enterprises-Virtual Datacenters, Satellite for Unlimited Guests y runtimes premium
*Soporte tecnico</t>
  </si>
  <si>
    <t>017-2026-EF/43.03</t>
  </si>
  <si>
    <t>OPEN SOURCE ENTERPRISE S.A.C.</t>
  </si>
  <si>
    <t>*089121-2026 (Conformidad suscripciones)
*089377-2026 (Aprob plan de trabajo)
*124967-2026(Informe mensual-Accesorio)</t>
  </si>
  <si>
    <t>https://mefgobpe1.sharepoint.com/:f:/t/DireccindelaOficinadeInfraestructuraTecnolgica/IgBzNkMirCsYRa-j3rBPp15BAUFkZK3K6KZkJkRvYcfn3QQ?e=aw9AFB</t>
  </si>
  <si>
    <t>REQ-2026-0082</t>
  </si>
  <si>
    <t>Servicio de suscripción de software de monitoreo y trazabilidad para los servicios tecnológicos</t>
  </si>
  <si>
    <t>015467-2025</t>
  </si>
  <si>
    <t>APM Instana</t>
  </si>
  <si>
    <t>Yohn Huatuco Tarazona</t>
  </si>
  <si>
    <t>089-2025-EF/43.03</t>
  </si>
  <si>
    <t>MAINSOFT PERU S.A.C.</t>
  </si>
  <si>
    <t>*031095-2026 (Conformidad suscripciones)</t>
  </si>
  <si>
    <t>https://mefgobpe1.sharepoint.com/:f:/t/DireccindelaOficinadeInfraestructuraTecnolgica/IgDfr-0C0jZ-QqNhYzXjdwe6AeK112gk7QvBn0E7gKIi2fA?e=VwWibC</t>
  </si>
  <si>
    <t>REQ-2026-0083</t>
  </si>
  <si>
    <t>Servicio de Soporte y Actualización de los Productos ORACLE</t>
  </si>
  <si>
    <t>088269-2024</t>
  </si>
  <si>
    <t>Soporte y actualización ORACLE</t>
  </si>
  <si>
    <t>016-2025-EF/43.03</t>
  </si>
  <si>
    <t>Sistemas ORACLE del Perú</t>
  </si>
  <si>
    <t>*130253-2025 (Conformidad)</t>
  </si>
  <si>
    <t>https://mefgobpe1.sharepoint.com/:f:/t/DireccindelaOficinadeInfraestructuraTecnolgica/IgBY5Rq_h0p_QrIAjr0QA1YwAZWL1b6WGbS_qBEk9r99tqM?e=BzkZe8</t>
  </si>
  <si>
    <t>REQ-2026-0084</t>
  </si>
  <si>
    <t>Servicio de monitoreo y soporte técnico especializado para los servicios de producción y base de datos del centro de cómputo</t>
  </si>
  <si>
    <t>081332-2024</t>
  </si>
  <si>
    <t>Soporte tecnico y soporte especializado</t>
  </si>
  <si>
    <t>005-2025-EF/43.03</t>
  </si>
  <si>
    <t>B.S. BUSINESS SOLUTION CONSULTORES S.A.C</t>
  </si>
  <si>
    <t>*120027-2025(Conformidad Mes01)</t>
  </si>
  <si>
    <t>https://mefgobpe1.sharepoint.com/:f:/t/DireccindelaOficinadeInfraestructuraTecnolgica/IgD132fZPAtcRK9h9lcQQ_zgATY9Drjjyz7H5GmAJ7nKDDA?e=ose1XU</t>
  </si>
  <si>
    <t>REQ-2026-0085</t>
  </si>
  <si>
    <t>Servicio de suscripción de base de datos de guías para buenas prácticas</t>
  </si>
  <si>
    <t>068834-2024 (Requerimiento)</t>
  </si>
  <si>
    <t>Repositorio de guías para buenas prácticas</t>
  </si>
  <si>
    <t>0001789-2024</t>
  </si>
  <si>
    <t>E &amp; C IT CONSULTING S.A.C</t>
  </si>
  <si>
    <t xml:space="preserve"> Conformidad emitida con HR 108977-2024 (Constancia de vigencia, acta de activación)</t>
  </si>
  <si>
    <t>https://mefgobpe1.sharepoint.com/:f:/t/DireccindelaOficinadeInfraestructuraTecnolgica/IgDZkVbElnHcS51GNyAeImDAAbjD1h-ajdDgwmECx0cOt8s?e=9MpV9x</t>
  </si>
  <si>
    <t>REQ-2026-0086</t>
  </si>
  <si>
    <t>Servicio de implementación y operación de una plataforma de Sistema de Nombres de Dominio</t>
  </si>
  <si>
    <t>010855-2026 (Requerimiento)</t>
  </si>
  <si>
    <t>Plataforma de Sistema de nombres de dominio (DNS)</t>
  </si>
  <si>
    <t>0001016-2026</t>
  </si>
  <si>
    <t>SFI NETWORKS E.I.R.L</t>
  </si>
  <si>
    <t xml:space="preserve"> Conformidad emitida con HR 072871-2026 (Documentos del servicio)</t>
  </si>
  <si>
    <t>https://mefgobpe1.sharepoint.com/:f:/t/DireccindelaOficinadeInfraestructuraTecnolgica/IgDOGmIsTdcQR7WRurTBYvynARYfq5gEIhBfSrmIgGJX8gg?e=2IW6HR</t>
  </si>
  <si>
    <t>REQ-2026-0087</t>
  </si>
  <si>
    <t>Servicio para la protección de zonas de seguridad de la red para la infraestructura tecnológica del Ministerio de Economía y Finanzas.</t>
  </si>
  <si>
    <t>*228950-2025 (Requerimiento inicial v1)                                                                            *061086-2026 (Requerimiento inicial v2)                                                      *069662-2026  (subsanación y emisión del contrato)</t>
  </si>
  <si>
    <t>Servicio que incluye firewalls, consola de gestión, suscripciones y soporte para el equipamiento</t>
  </si>
  <si>
    <t>015-2026-EF/43.03</t>
  </si>
  <si>
    <t>CONSORCIO PLATECCS – CX SECURE</t>
  </si>
  <si>
    <t>Se realizo la suscripción del acta de de aprobación del Plan de trabajo HR: 109112-2026</t>
  </si>
  <si>
    <t>https://mefgobpe1.sharepoint.com/:f:/t/DireccindelaOficinadeInfraestructuraTecnolgica/IgCel-yjCirvTYHooBtP0F9fAdQIDmkvs38OKt306jpUPDc?e=yLl35W</t>
  </si>
  <si>
    <t>REQ-2026-0088</t>
  </si>
  <si>
    <t xml:space="preserve">Servicio para la protección avanzada de buzones de correo para la Infraestructura 
Tecnológica del Ministerio de Economía y Finanzas. </t>
  </si>
  <si>
    <t>*132715-2025 (Requerimiento inicial)                                                                   *098008-2026 (Subsanación y emisión del contrato)</t>
  </si>
  <si>
    <t>Servicio que incluye suscripción al antispam y soporte</t>
  </si>
  <si>
    <t>022-2026-EF/43.03</t>
  </si>
  <si>
    <t>06/05/202</t>
  </si>
  <si>
    <t xml:space="preserve"> CONSORCIO INDRA</t>
  </si>
  <si>
    <t>*Se realizo la suscripción del acta de de aprobación del Plan de trabajo HR: 125607-2026</t>
  </si>
  <si>
    <t>https://mefgobpe1.sharepoint.com/:f:/t/DireccindelaOficinadeInfraestructuraTecnolgica/IgAj6Tw_YS4tSIKQoPn_P4NEAd5pTbYuV9EMQZz4i45zAw0?e=YHn26Y</t>
  </si>
  <si>
    <t>REQ-2026-0089</t>
  </si>
  <si>
    <t>Servicio de solución de una plataforma unificada de seguridad digital para la 
protección de endpoints, servidores, entornos de contenedores y mecanismos de acceso seguro y controlado para la infraestructura tecnológica del Ministerio de Economía y Finanzas</t>
  </si>
  <si>
    <t xml:space="preserve">087154-2026 (Requerimiento) </t>
  </si>
  <si>
    <t xml:space="preserve">*Cortex XSIAM                               *Prisma Access For Mobile Users </t>
  </si>
  <si>
    <t>Abastecmiento remitio un correo señalando que en el clasificador de gastos 23.27.4.99, meta 39 se tiene saldo insuficiente</t>
  </si>
  <si>
    <t>https://mefgobpe1.sharepoint.com/:f:/t/DireccindelaOficinadeInfraestructuraTecnolgica/IgAG9kWY4c3DQZfBV8lKBvVWAfb8oT8nCJDO5eTK5l2xdIQ?e=h9OLf9</t>
  </si>
  <si>
    <t>REQ-2026-0090</t>
  </si>
  <si>
    <t>SERVICIOS DE CIBERSEGURIDAD
(20 Servicios Especializados de ciberseguridad independientes)</t>
  </si>
  <si>
    <t>No tiene HR</t>
  </si>
  <si>
    <t>REQ-2026-0091</t>
  </si>
  <si>
    <t>Adquisición de licencias de software de Gestión de Contenido Empresarial – LASERFICHE o equivalente</t>
  </si>
  <si>
    <t>127789-2024</t>
  </si>
  <si>
    <t>*Laserfiche - Versión Rio (50 unidades)
*Garantia y soporte</t>
  </si>
  <si>
    <t>002-2025-EF/43.03</t>
  </si>
  <si>
    <t>POLYSISTEMAS CORP S.A.C.</t>
  </si>
  <si>
    <t>*Conformidad 032829-2025
*Informe semestre I-2026 (159563-2026)</t>
  </si>
  <si>
    <t>https://mefgobpe1.sharepoint.com/:f:/t/DireccindelaOficinadeInfraestructuraTecnolgica/IgBZgshq_n29RoqAJYL1_73XAXcueZwaCZSeqh9b2SqkoYU?e=2bsdCd</t>
  </si>
  <si>
    <t>REQ-2026-0092</t>
  </si>
  <si>
    <t>Solución de virtualización de aplicaciones</t>
  </si>
  <si>
    <t>045899-2024</t>
  </si>
  <si>
    <t>*Windows Server 2025 Remote Desktop Services – 1 User CAL (400 unidades)-Perpetuo
*Omnissa
*Garantia y soporte</t>
  </si>
  <si>
    <t>007-2025-EF/43.03</t>
  </si>
  <si>
    <t>MAINT INTERNATIONAL SERVICES S.A.C.</t>
  </si>
  <si>
    <t>*Conformidad 064178-2025
*Vigencia de servicio corresponder a garantia y soporte técnico</t>
  </si>
  <si>
    <t>https://mefgobpe1.sharepoint.com/:f:/t/DireccindelaOficinadeInfraestructuraTecnolgica/IgDPgnDFtg89TrLxABhdVe08AUgsLoj92ghtBOiluaUWTcw?e=5LVSpt</t>
  </si>
  <si>
    <t>REQ-2026-0093</t>
  </si>
  <si>
    <t>Servicio de Housing para la plataforma tecnológica del Ministerio de Economía y Finanzas</t>
  </si>
  <si>
    <t>080165-2026</t>
  </si>
  <si>
    <t>Housing Housing CPD y contingencia</t>
  </si>
  <si>
    <t>016-2026-EF/43.03</t>
  </si>
  <si>
    <t>Fecha estimada de inicio de servicio 23-07-26</t>
  </si>
  <si>
    <t>https://mefgobpe1.sharepoint.com/:f:/t/DireccindelaOficinadeInfraestructuraTecnolgica/IgA1TPsezJR0QLTmVkLQMrhqAeNqHHJBPOeROw52L6rxp6k?e=H5dWbl</t>
  </si>
  <si>
    <t>REQ-2026-0094</t>
  </si>
  <si>
    <t xml:space="preserve">Contratación del Servicio de Alquiler de un Sistema de Video seguridad para el 
Ministerio de Economía y Finanzas. </t>
  </si>
  <si>
    <t xml:space="preserve">*070964-2026 (Requerimiento inicial v1)                                                                       *096452-2026 (Reformulación del requerimiento)    </t>
  </si>
  <si>
    <t>Alquiler de servicio de un sistema de video seguridad para diferentes sedes de la Entidad</t>
  </si>
  <si>
    <t>Evaluación de Propuestas</t>
  </si>
  <si>
    <t>Abastecimiento revalidara las condiciones de la
interacción con el mercado realizada</t>
  </si>
  <si>
    <t>REQ-2026-0095</t>
  </si>
  <si>
    <t>Servicio de Escaneo bajo demanda para la procuraduría pública y la plataforma de Atención al Usuario del Ministerio de Economía y Finanzas</t>
  </si>
  <si>
    <t xml:space="preserve"> I-248761-2025</t>
  </si>
  <si>
    <t>Alquiler de escáner para Procuraduría y atención al Usuario</t>
  </si>
  <si>
    <t>Contrato N°0055-2025-EF/43.03/CM</t>
  </si>
  <si>
    <t>Previsión</t>
  </si>
  <si>
    <t>REQ-2026-0096</t>
  </si>
  <si>
    <t>Contratación del Servicio de Alquiler de un Sistema de Video seguridad para el 
Ministerio de Economía y Finanzas - Complementario N°59-2022-EF/43.03</t>
  </si>
  <si>
    <t>054311-2026 (Requerimiento)</t>
  </si>
  <si>
    <t>032-2026-EF/43.03</t>
  </si>
  <si>
    <t>ITALTEL PERÚ S.A.C.</t>
  </si>
  <si>
    <t>https://mefgobpe1.sharepoint.com/:f:/t/DireccindelaOficinadeInfraestructuraTecnolgica/IgDeC6vNIBUpSqbiTFJ8zxRtAQ9USEKybl6KXV9iuaHVsyY?e=WK3wS9</t>
  </si>
  <si>
    <t>REQ-2026-0097</t>
  </si>
  <si>
    <t>Suscripción para el uso de productos Microsoft (2023)</t>
  </si>
  <si>
    <t>*035573-2023 (Requerimiento)
*211945-2023 (1era Prest Adic)
*158501-2025 (2da Prest Adic)</t>
  </si>
  <si>
    <t>Office 365 E3</t>
  </si>
  <si>
    <t>Daniel Chipana Muñante</t>
  </si>
  <si>
    <t>105-2023-EF/43.03</t>
  </si>
  <si>
    <t>SEIDOR TECHNOLOGIES PERU S.A.C</t>
  </si>
  <si>
    <t>*213584-2023 - Conformidad año 01</t>
  </si>
  <si>
    <t>https://mefgobpe1.sharepoint.com/:f:/t/DireccindelaOficinadeInfraestructuraTecnolgica/IgA4a5y5yaLTSpUdScEjsw1uAeIKR9LLLkuw_wKrthJwmD8?e=k9CbYh</t>
  </si>
  <si>
    <t>SI</t>
  </si>
  <si>
    <t>REQ-2026-0125</t>
  </si>
  <si>
    <t>Suscripción para el uso de productos Microsoft (2026)</t>
  </si>
  <si>
    <t>157354-2026 (Requerimiento)</t>
  </si>
  <si>
    <t xml:space="preserve">Se encuentra en proceso de revisión por abastecimiento </t>
  </si>
  <si>
    <t>REQ-2026-0098</t>
  </si>
  <si>
    <t>Servicio de implementación y equipamiento del nuevo centro de procesamiento de datos de contingencia</t>
  </si>
  <si>
    <t>119216-2021</t>
  </si>
  <si>
    <t>Centro de Procesamiento de Datos (CPD) contingencia</t>
  </si>
  <si>
    <t>Carlos Rojas Vargas</t>
  </si>
  <si>
    <t>022-2023-EF/43.03</t>
  </si>
  <si>
    <t>ITALTEL PERU S.A.C.</t>
  </si>
  <si>
    <t>Plazo estimado de ultimo entregable 29/06/2026</t>
  </si>
  <si>
    <t>https://mefgobpe1.sharepoint.com/:f:/t/DireccindelaOficinadeInfraestructuraTecnolgica/IgD_FkO9vp8WR7985Bq57Ax7AZjlbF95iucemH4-rKEMj04?e=1FIRyW</t>
  </si>
  <si>
    <t>REQ-2026-0099</t>
  </si>
  <si>
    <t>Contratación del servicio de Fotocopiado, Impresión y Escaneo por demanda para el Ministerio de Economía y Finanzas - Complementario N°048-2023-EF/43.03</t>
  </si>
  <si>
    <t>049078-2026 (Requerimiento del complementario)</t>
  </si>
  <si>
    <t>Servicio de fotocopiado, impresión y escaneo por demanda</t>
  </si>
  <si>
    <t>En ejecución</t>
  </si>
  <si>
    <t>N°018-2026-EF/43.03</t>
  </si>
  <si>
    <t xml:space="preserve">RICOH DEL PERÚ </t>
  </si>
  <si>
    <t xml:space="preserve">El servicio esta por su segundo entregable </t>
  </si>
  <si>
    <t>El servicio es hasta agotar el monto contratado o hasta que inicie el CPS 003-2026-EF/43.03</t>
  </si>
  <si>
    <t>https://mefgobpe1.sharepoint.com/:f:/t/DireccindelaOficinadeInfraestructuraTecnolgica/IgAJrAOcXdO-TJUtLpJ93mAQAZfLdKTI3d2WHCnuujc9_p8?e=pn035m</t>
  </si>
  <si>
    <t>REQ-2026-0100</t>
  </si>
  <si>
    <t>Contratación del servicio de Fotocopiado, Impresión y Escaneo por demanda para el Ministerio de Economía y Finanzas</t>
  </si>
  <si>
    <t>*230615-2025 (Requerimiento inicial v1)                                               *132482-2026 ( Requerimiento inicial v2)                        *156032-2026  (Suscripción del contrato)</t>
  </si>
  <si>
    <t>Por suscribir contrato</t>
  </si>
  <si>
    <t>Abastecimiento remitio un oficio con observaciones al proveedor y pueda subsanar</t>
  </si>
  <si>
    <t>Se encuentra en procedimiento de selección de CPS N°003-2026-EF/43</t>
  </si>
  <si>
    <t>https://mefgobpe1.sharepoint.com/:f:/t/DireccindelaOficinadeInfraestructuraTecnolgica/IgDPIeZpngTUTKUuwYrE5RofAWBQ7U9MrgpmZgk5lMMcC18?e=oCdvhN</t>
  </si>
  <si>
    <t>REQ-2026-0101</t>
  </si>
  <si>
    <t>Contratación del servicio de internet adicional para quienes conforman el despacho Ministerial del Ministerio de Economía y Finanzas.</t>
  </si>
  <si>
    <t>077512-2026 (Requerimiento)</t>
  </si>
  <si>
    <t xml:space="preserve">Servicio de internet de alta velocidad y ancho de banda exclusivo para la Alta Dirección </t>
  </si>
  <si>
    <t>N°008-2026-EF/43.03</t>
  </si>
  <si>
    <t>Falta adjuntar el contrato en el repositorio</t>
  </si>
  <si>
    <t>El servicio se encuentra por su primer entregable</t>
  </si>
  <si>
    <t>https://mefgobpe1.sharepoint.com/:f:/t/DireccindelaOficinadeInfraestructuraTecnolgica/IgCHLHxCTHg2S6-TpprKHAglAWwcFNXAtoXWbi07ULrVi5g?e=GoaTNN</t>
  </si>
  <si>
    <t>REQ-2026-0102</t>
  </si>
  <si>
    <t>Contratación del servicio de televisión por cable o satélite para el Ministerio de Economía y Finanzas</t>
  </si>
  <si>
    <t>082576-2026 (Requerimiento)</t>
  </si>
  <si>
    <t>Contratación de (28) servicio de Televisión por cable o satelite para el MEF</t>
  </si>
  <si>
    <t>N° 007-2026-EF/43.03</t>
  </si>
  <si>
    <t>https://mefgobpe1.sharepoint.com/:f:/t/DireccindelaOficinadeInfraestructuraTecnolgica/IgDKRKOnBdbCRbGLY1y59HVxAVtyX-DKcropgp8rUK7fA50?e=Qzsz8w</t>
  </si>
  <si>
    <t>REQ-2026-0103</t>
  </si>
  <si>
    <t>Contratación del Servicio de Telefonía Móvil (celular) para el Ministerio de Economía y
Finanzas - 2026</t>
  </si>
  <si>
    <t>131374-2026</t>
  </si>
  <si>
    <t>Servicio de 694 equipos moviles en modalidad de alquiler, dividido en tres equipos</t>
  </si>
  <si>
    <t>Se encuentra en la OGTi, para revisión y remitir el memo a OGA</t>
  </si>
  <si>
    <t>https://mefgobpe1.sharepoint.com/:f:/t/DireccindelaOficinadeInfraestructuraTecnolgica/IgAncUeKjYpKQKWdhK6Wul2FAb0ivu9bROLNkcQV8UlHFlM?e=eJIHnw</t>
  </si>
  <si>
    <t>REQ-2026-0104</t>
  </si>
  <si>
    <t>Contratación del Servicio de Telefonía Móvil (celular) para el Ministerio de Economía y
Finanzas - 2024</t>
  </si>
  <si>
    <t xml:space="preserve"> N° 055-2024-EF/43.03</t>
  </si>
  <si>
    <t xml:space="preserve"> AMERICATEL PERU S.A</t>
  </si>
  <si>
    <t>https://mefgobpe1.sharepoint.com/:f:/t/DireccindelaOficinadeInfraestructuraTecnolgica/IgBx6t6xPAKyR52iNT3E9_ytAfgfbZ5lQlAHRmNAw6r_ymk?e=IhZJZK</t>
  </si>
  <si>
    <t>REQ-2026-0105</t>
  </si>
  <si>
    <t>070521-2026 (Requerimiento)</t>
  </si>
  <si>
    <t>Servicio de provisión y gestión de networking para el CPD de contingencia</t>
  </si>
  <si>
    <t>El servicio se encuentra por su segundo entregable de tres</t>
  </si>
  <si>
    <t>https://mefgobpe1.sharepoint.com/:f:/t/DireccindelaOficinadeInfraestructuraTecnolgica/IgCeDX3vvkIKQol_H21Pls4IAQuqN3ccEDM_GIJLkJ3ngrE?e=Kl7uUR</t>
  </si>
  <si>
    <t>REQ-2026-0106</t>
  </si>
  <si>
    <t>REQ-2026-0111</t>
  </si>
  <si>
    <t>Servicio de acceso a internet para el Ministerio de Economía y Finanzas - ITEM N°2: Servicio de acceso a internet secundario (enlace secundario)</t>
  </si>
  <si>
    <t>078318-2025 (Requerimiento)</t>
  </si>
  <si>
    <t>Contratación de servicio de acceso a internet de dos operadores ISP</t>
  </si>
  <si>
    <t>N° 011-2026-EF/43.03</t>
  </si>
  <si>
    <t>ON EMPRESAS S.A.C</t>
  </si>
  <si>
    <t>https://mefgobpe1.sharepoint.com/:f:/t/DireccindelaOficinadeInfraestructuraTecnolgica/IgCN7c9CsE0iQKftpVB8YvXUAU1k8KWkZ4Tg-nGcQu0_4i4?e=7jHJpa</t>
  </si>
  <si>
    <t>REQ-2026-0107</t>
  </si>
  <si>
    <t xml:space="preserve">Servicio de Notificación Electrónica para el Tribunal Fiscal </t>
  </si>
  <si>
    <t>124222-2026</t>
  </si>
  <si>
    <t>Notificaciones Electronicas</t>
  </si>
  <si>
    <t>Con fecha 06-07-26, se remitió vìa STD la versiòn actualizada del TDR, para atenciòn del area usuaria</t>
  </si>
  <si>
    <t>https://mefgobpe1.sharepoint.com/:f:/t/DireccindelaOficinadeInfraestructuraTecnolgica/IgBma7MgEadHSKoZQ8kUbIx1AbjT2cxciUkwRyP1C7EP2qU?e=3g44IM</t>
  </si>
  <si>
    <t>REQ-2026-0108</t>
  </si>
  <si>
    <t>Adquisición de pantalla interactiva para el Centro de Operaciones de Emergencia del Sector Economía y Finanzas</t>
  </si>
  <si>
    <t>*152269-2026 (Requerimiento)
*123111-2026 (Referencia)</t>
  </si>
  <si>
    <t>Oficina de seguridad, Defensa Nacional y Gestión del Riesgo de Desastres</t>
  </si>
  <si>
    <t>*Con fecha 09-07-26, se remitió via correo electrónico  EETT visados.
*Con fecha 17-07-26, mediante HR de requerimiento indican que se tramitará luego del cambio de gobierno</t>
  </si>
  <si>
    <t>https://mefgobpe1.sharepoint.com/:f:/t/DireccindelaOficinadeInfraestructuraTecnolgica/IgCt-siFeLToTLzGCtj6jtWKAeNORumychcecZtgE_UktG0?e=dyfa1X</t>
  </si>
  <si>
    <t>REQ-2026-0109</t>
  </si>
  <si>
    <t>Contratación del Servicio de enlace de la red de datos con respaldo MPLS con segmentos críticos BANCARED y LBTR.</t>
  </si>
  <si>
    <t>101488-2026 (Requerimiento)</t>
  </si>
  <si>
    <t xml:space="preserve">Servicio de transporte de mensajes electrónicos y de transferencia
de fondos entre el MEF y el BCRP </t>
  </si>
  <si>
    <t>Contratado</t>
  </si>
  <si>
    <t>N°016-2026-EF/43.03/CM</t>
  </si>
  <si>
    <t xml:space="preserve">ASOCIACIÓN DE BANCOS DEL PERU </t>
  </si>
  <si>
    <t>El servicio corre despues del dia siguiente de la suscripción del "Acta de puesta en servicio" . Tiene hasta el 24 de julio</t>
  </si>
  <si>
    <t>https://mefgobpe1.sharepoint.com/:f:/t/DireccindelaOficinadeInfraestructuraTecnolgica/IgBTiE_VajuqRY7YebtztiSjAZtKl_qUsoL5FZ-am9YMzAY?e=K4R8YZ</t>
  </si>
  <si>
    <t>REQ-2026-0110</t>
  </si>
  <si>
    <t>Contratación del servicio de fotocopiado, impresiones y escaneado para los CONECTAMEF a nivel Nacional - Complementario C.N°24-2024-EF/43.03</t>
  </si>
  <si>
    <t>049110-2026</t>
  </si>
  <si>
    <t>Servicio de fotocopiado, impresión y escaneo a traves de 27 equipos para los CONECTAMEF</t>
  </si>
  <si>
    <t>N°021-2026-EF/43.03</t>
  </si>
  <si>
    <t>RICOH DEL PERÚ S.A.C.</t>
  </si>
  <si>
    <t xml:space="preserve">Plazo de la ejecución es a partir de la culminación del Contrato N°024-2024-EF/43.03- contrato original- hasta agotar el monto contratado o hasta que inicie la ejecución del nuevo contrato </t>
  </si>
  <si>
    <t>https://mefgobpe1.sharepoint.com/:f:/t/DireccindelaOficinadeInfraestructuraTecnolgica/IgCaoE2YAKPdTIhR0cRIhaLnAQtF0T9FDp2UV1Xbq36N_g0?e=Mv4O6N</t>
  </si>
  <si>
    <t>Contratación del servicio de acceso a internet para el Ministerio de Economía y
Finanzas – ITEM N°.1: Servicio de Acceso a Internet Principal (enlace principal)</t>
  </si>
  <si>
    <t>Contratación de servicio de acceso a internet</t>
  </si>
  <si>
    <t>N°007-2026-EF/43.03</t>
  </si>
  <si>
    <t>https://mefgobpe1.sharepoint.com/:f:/t/DireccindelaOficinadeInfraestructuraTecnolgica/IgADMfQBji3ZRoNBwae1yQOVATkypQlAHNZe88TvOOQoSGg?e=zgiIMb</t>
  </si>
  <si>
    <t>REQ-2026-0112</t>
  </si>
  <si>
    <t>Contratación del servicio de enlace de comunicaciones para el proyecto "Mejoramiento del Servicio de Abastecimiento Público de bienes, servicio y obras"</t>
  </si>
  <si>
    <t>Servicio de enlace de comunicaciones</t>
  </si>
  <si>
    <t>F-00120240-5696</t>
  </si>
  <si>
    <t>https://mefgobpe1.sharepoint.com/:f:/t/DireccindelaOficinadeInfraestructuraTecnolgica/IgCbfvqsTUV0RYsbDEU86lfOAQ6-wbAefQwhkvjbVDyohUg?e=gIZDk9</t>
  </si>
  <si>
    <t>REQ-2026-0113</t>
  </si>
  <si>
    <t>Contratación del servicio de fotocopiado, impresiones y escaneado para los CONECTAMEF a nivel Nacional</t>
  </si>
  <si>
    <t>N°024-2024-EF/43.03</t>
  </si>
  <si>
    <t xml:space="preserve">Contrato N°024-2024-EF/43.03, se tramito un contrato complementario con HR: 049110-2026 </t>
  </si>
  <si>
    <t>https://mefgobpe1.sharepoint.com/:f:/t/DireccindelaOficinadeInfraestructuraTecnolgica/IgDdrbM4UyIgQ4OlzQk5tFIUAapr-JrjMsmNof5z4Viz2Ds?e=rf3HNW</t>
  </si>
  <si>
    <t>REQ-2026-0114</t>
  </si>
  <si>
    <t>Servicio de radio troncalizado para el Ministerio de Economía y
Finanzas (MEF)</t>
  </si>
  <si>
    <t>229570-2025 (Requerimiento)</t>
  </si>
  <si>
    <t>Servicio de dieciséis (16) equipos portátiles con señal de radio troncalizado
con teclado numérico.</t>
  </si>
  <si>
    <t xml:space="preserve"> Nº016-2025-EF/43.03 </t>
  </si>
  <si>
    <t>Dolphin Telecom del Peru S.A.C.</t>
  </si>
  <si>
    <t>https://mefgobpe1.sharepoint.com/:f:/t/DireccindelaOficinadeInfraestructuraTecnolgica/IgC7b_fep09KTJwXBJjBobs-AW1ZvFIOuuKi86MA5eLGD88?e=hOaW0S</t>
  </si>
  <si>
    <t>REQ-2026-0121</t>
  </si>
  <si>
    <t>Contratación del Servicio de Transmisión de Datos entre las sedes en Lima Metropolitana del Ministerio de Economía y Finanzas y otras entidades - ITEM 1  (principal)</t>
  </si>
  <si>
    <t xml:space="preserve"> Servicios de transmisión de datos </t>
  </si>
  <si>
    <t>N°010-2024-EF/43.03</t>
  </si>
  <si>
    <t>AMERICATEL PERÚ S.A. &amp; ENTEL PERÚ S.A.</t>
  </si>
  <si>
    <t>16/08/2024</t>
  </si>
  <si>
    <t>15/08/2026</t>
  </si>
  <si>
    <t>https://mefgobpe1.sharepoint.com/:f:/t/DireccindelaOficinadeInfraestructuraTecnolgica/IgByodgHzVSKSbhEmahiwa2sAcmZDzN95lq2Bm6utsL6EHQ?e=xbDT8c</t>
  </si>
  <si>
    <t>x</t>
  </si>
  <si>
    <t>REQ-2026-0119</t>
  </si>
  <si>
    <r>
      <t xml:space="preserve">Contratación del Servicio de Transmisión de Datos entre las sedes en Lima Metropolitana del Ministerio de Economía y Finanzas y otras entidades - ITEM 1 (principal) </t>
    </r>
    <r>
      <rPr>
        <b/>
        <sz val="9"/>
        <color rgb="FF000000"/>
        <rFont val="Arial"/>
        <family val="2"/>
      </rPr>
      <t>COMPLEMENTARIO</t>
    </r>
  </si>
  <si>
    <t>114612-2026                                                                   *152536-2026 (apoyo presupuestal)</t>
  </si>
  <si>
    <t>Trinidad Lizonde Alejandro</t>
  </si>
  <si>
    <t>Secretaria General</t>
  </si>
  <si>
    <t>Contratación complementaria al Contrato N° 010-2024-EF/43.03 derivado del Concurso Público N° 013-2023-EF/43.</t>
  </si>
  <si>
    <t>REQ-2026-0115</t>
  </si>
  <si>
    <t>Contratación del Servicio de Transmisión de Datos entre las sedes en Lima Metropolitana del Ministerio de Economía y Finanzas y otras entidades - ITEM 1 (principal)</t>
  </si>
  <si>
    <t>107590-2026</t>
  </si>
  <si>
    <t xml:space="preserve">En proceso de conformación del comité </t>
  </si>
  <si>
    <t>https://mefgobpe1.sharepoint.com/:f:/t/DireccindelaOficinadeInfraestructuraTecnolgica/IgBy2FOW_7RFTZ6gSHYnOLwPAQ4zTgnQyXlPob6hDhM90RI?e=2Jvxbj</t>
  </si>
  <si>
    <t>REQ-2026-0122</t>
  </si>
  <si>
    <t>Contratación del Servicio de Transmisión de Datos entre las sedes en Lima Metropolitana del Ministerio de Economía y Finanzas y otras entidades - ITEM 2 (secundario)</t>
  </si>
  <si>
    <t>N°011-2024-EF/43.03</t>
  </si>
  <si>
    <t>31/07/2024</t>
  </si>
  <si>
    <t>30/07/2026</t>
  </si>
  <si>
    <t>https://mefgobpe1.sharepoint.com/:f:/t/DireccindelaOficinadeInfraestructuraTecnolgica/IgBqwkQZmz5PTZ_O2MGnbRb0AY3fiSJ1iOnSbb5FiZ6YBzw?e=hVme0h</t>
  </si>
  <si>
    <t>REQ-2026-0120</t>
  </si>
  <si>
    <r>
      <t xml:space="preserve">Contratación del Servicio de Transmisión de Datos entre las sedes en Lima Metropolitana del Ministerio de Economía y Finanzas y otras entidades - ITEM 2 (secundario) </t>
    </r>
    <r>
      <rPr>
        <b/>
        <sz val="9"/>
        <color rgb="FF000000"/>
        <rFont val="Arial"/>
        <family val="2"/>
      </rPr>
      <t>COMPLEMENTARIO</t>
    </r>
  </si>
  <si>
    <t>116858-2026                                                                  *152536-2026 (apoyo presupuestal)        *147003-2026 (verificación de documentos)</t>
  </si>
  <si>
    <t>Se remitio un memo  3834-2026, indicando que esta conforme la verificacion de los documentos para el contrato complementario</t>
  </si>
  <si>
    <t>REQ-2026-0116</t>
  </si>
  <si>
    <t>Servicios de transmisión de datos</t>
  </si>
  <si>
    <t>https://mefgobpe1.sharepoint.com/:f:/t/DireccindelaOficinadeInfraestructuraTecnolgica/IgBhJybCN6piQrkYooBG7Kd6AeLFRaSNyUqiq2Rogbb0JOU?e=XejjUi</t>
  </si>
  <si>
    <t>REQ-2026-0117</t>
  </si>
  <si>
    <t>Bienes y Servicios</t>
  </si>
  <si>
    <t>Adquisición de los equipos de comunicación para el servicio de acceso a la red de datos de los centros CONECTAMEF a nivel nacional. En el marco de la inversión con código único 2607522- PRESTACIÓN ACCESORIA</t>
  </si>
  <si>
    <t xml:space="preserve">Servicio de garantia y Capacitación </t>
  </si>
  <si>
    <t>N°096-2025-EF/43.03</t>
  </si>
  <si>
    <t>INET PERU S.A.C.</t>
  </si>
  <si>
    <t>REQ-2026-0118</t>
  </si>
  <si>
    <t>Adquisición de los equipos de comunicación para el servicio de acceso a la Red de Datos del Tribunal Fiscal del Ministerio de Economía y Finanzas en el marco de la IOARR 2607522-  PRESTACIÓN ACCESORIA</t>
  </si>
  <si>
    <t xml:space="preserve"> Servicio de garantía extendida                                *( servicio de soporte x 2años-(año 1 y 2)),                                                   * (servicio de soporte x 1 año-(Año3)),                                   *(Servicio de mantenimiento preventivo y continuidad operativa por 3 año)</t>
  </si>
  <si>
    <t>N°063-2024-EF/43.03</t>
  </si>
  <si>
    <t>REQ-2026-0123</t>
  </si>
  <si>
    <t>Servicio de implementación, configuración y replicación de base de datos en el sitio de Contingencia</t>
  </si>
  <si>
    <t>155488-2026</t>
  </si>
  <si>
    <t>Servicio de implementación, configuración y replicación de base de datos en contingencia</t>
  </si>
  <si>
    <t>https://mefgobpe1.sharepoint.com/:f:/t/DireccindelaOficinadeInfraestructuraTecnolgica/IgBwuAd-2mKBRoxHAENy9EwCAZMSEDNE0R4qtobs2YbtwQY?e=mvQGBN</t>
  </si>
  <si>
    <t>REQ-2026-0124</t>
  </si>
  <si>
    <t>Adquisición de materiales de cableado estructurado de la Red de Datos para el área de legajos de Recursos Humanos en la sede Comercio del Ministerio de Economía y Finanzas</t>
  </si>
  <si>
    <t>141444-2026</t>
  </si>
  <si>
    <t xml:space="preserve">Habilitación de los puntos de red en las nuevas instalaciones para el area de lejos Recursos Humanos </t>
  </si>
  <si>
    <t>Se encuentra en la OGTI para remitir memo a OGA</t>
  </si>
  <si>
    <t>Numeración</t>
  </si>
  <si>
    <t>Adquisición de licencias de software para Central Telefónica destinadas al uso de softphone para la Defensoría del Contribuyente y Usuario Aduanero del MEF.
SERVICIO DE SEGURIDAD DIGITAL CORTEX–SIAM</t>
  </si>
  <si>
    <t>ervicio de suscripción de licencias de software para el desarrollo de aplicaciones empresariales de bajo código (low-code)</t>
  </si>
  <si>
    <t xml:space="preserve">Adquisición de equipos de cómputo (CPU y Monitor) para la Oficina de
Comunicaciones del Ministerio de Economía y Finanzas </t>
  </si>
  <si>
    <t>Adquisición de accesorios informáticos para equipos de cómputo (Lectoras CD/DVD)</t>
  </si>
  <si>
    <t>Servicio de implementación, soporte y mantenimiento de software de
gestión de recursos humanos</t>
  </si>
  <si>
    <t>Solución para la provisión de servicios de inteligencia artificial mediante APIs en la nube</t>
  </si>
  <si>
    <t>Servicio de suscripción para plataforma en la nube de inteligencia artificial
generativa para el desarrollo de soluciones digitales</t>
  </si>
  <si>
    <t>Servicio de alquiler de equipos de computo portatiles a demanda</t>
  </si>
  <si>
    <t>Servicio de transmisión de datos para los CONECTAMEF a nivel nacional. ÍTEM 1: Servicio de transmisión de datos para los CONECTAMEF principal</t>
  </si>
  <si>
    <t>Servicio de Transmisión de datos para los CONECTAMEF A Nivel Nacional - Item N° 2: Servicio de Transmisión de datos para los CONECTAMEF A Nivel Nacional</t>
  </si>
  <si>
    <t>Servicio de Transmisión de datos para los CONECTAMEF A Nivel Nacional -ITEM N° 2: Servicio de Transmisión de datos para los CONECTAMEF A Nivel Nacional- COMPLEMENTARIO</t>
  </si>
  <si>
    <t>Servicio de suscripción de licencias de software para la creación, diseño y edición de gráficos, audio y video de la 
marca adobe creative cloud</t>
  </si>
  <si>
    <t xml:space="preserve">Adquisición de parlantes amplificadores portátiles </t>
  </si>
  <si>
    <t>Servicio de suscripción de una herramienta
de seguridad para la inspección de protocolo HTTP y HTTPS en servicios Web.</t>
  </si>
  <si>
    <t>Servicio de Suscripción de Base de Datos de
IPs para análisis.</t>
  </si>
  <si>
    <t>Servicio de suscripciones para productos Red Hat del mef</t>
  </si>
  <si>
    <t>Servicio para la protección avanzada de buzones de correo para la Infraestructura 
Tecnológica del Ministerio de Economía y Finanzas</t>
  </si>
  <si>
    <t>Servicio de solución de una plataforma unificada de seguridad digital para la 
protección de endpoints, servidores, entornos de contenedores y mecanismos de 
acceso seguro y controlado para la infraestructura tecnológica del Ministerio de 
Economía y Finanzas</t>
  </si>
  <si>
    <t>Suscripción para el uso de productos Microsoft</t>
  </si>
  <si>
    <t>Contratación del servicio de internet adicional para quienes conforman el despacho Ministerial del Ministerio de Economía y Finanzas</t>
  </si>
  <si>
    <t>Contratación del Servicio de Telefonía Móvil (celular) para el Ministerio de Economía yFinanzas - 2026</t>
  </si>
  <si>
    <t>Contratación del Servicio de Telefonía Móvil (celular) para el Ministerio de Economía y Finanzas-2024</t>
  </si>
  <si>
    <t>Servicio de enlace de comunicaciones, del proyecto mejoramiento del servicio de abastecimiento de bienes, servicios y obras</t>
  </si>
  <si>
    <t>Adquisición de los equipos de comunicación para el servicio de acceso a la red de datos de los centros CONECTAMEF a nivel nacional. En el marco de la inversión con código único 2607522</t>
  </si>
  <si>
    <t>Adquisición de los equipos de comunicación para el servicio de acceso a la Red de Datos del Tribunal Fiscal del Ministerio de Economía y Finanzas en el marco de la IOARR 2607522</t>
  </si>
  <si>
    <t>Contratación del Servicio de Transmisión de Datos entre las sedes en Lima Metropolitana del Ministerio de Economía y Finanzas y otras entidades - ITEM 1 (principal) COMPLEMENTARIO</t>
  </si>
  <si>
    <t>Contratación del Servicio de Transmisión de Datos entre las sedes en Lima Metropolitana del Ministerio de Economía y Finanzas y otras entidades - ITEM 2 (secundario) COMPLEMENTARIO</t>
  </si>
  <si>
    <t>REQ-2026-0126</t>
  </si>
  <si>
    <t>REQ-2026-0127</t>
  </si>
  <si>
    <t>REQ-2026-0128</t>
  </si>
  <si>
    <t>REQ-2026-0129</t>
  </si>
  <si>
    <t>REQ-2026-0130</t>
  </si>
  <si>
    <t>REQ-2026-0131</t>
  </si>
  <si>
    <t>REQ-2026-0132</t>
  </si>
  <si>
    <t>REQ-2026-0133</t>
  </si>
  <si>
    <t>REQ-2026-0134</t>
  </si>
  <si>
    <t>REQ-2026-0135</t>
  </si>
  <si>
    <t>REQ-2026-0136</t>
  </si>
  <si>
    <t>REQ-2026-0137</t>
  </si>
  <si>
    <t>REQ-2026-0138</t>
  </si>
  <si>
    <t>REQ-2026-0139</t>
  </si>
  <si>
    <t>REQ-2026-0140</t>
  </si>
  <si>
    <t>REQ-2026-0141</t>
  </si>
  <si>
    <t>REQ-2026-0142</t>
  </si>
  <si>
    <t>Área</t>
  </si>
  <si>
    <t>Estado</t>
  </si>
  <si>
    <t>OGA</t>
  </si>
  <si>
    <t>Convocado</t>
  </si>
  <si>
    <t>Seguimiento de contrato</t>
  </si>
  <si>
    <t>Orden de servicio / Contrato</t>
  </si>
  <si>
    <t>N° de OS. O CONTRATO</t>
  </si>
  <si>
    <t>Proveedor</t>
  </si>
  <si>
    <t>Encargado</t>
  </si>
  <si>
    <t>Fecha de Notificación de O.S.  / CONTRATO</t>
  </si>
  <si>
    <t>Fecha de activación del servicio</t>
  </si>
  <si>
    <t>Fecha de fin del servicio</t>
  </si>
  <si>
    <t>CONTRATACIÓN DE SERVICIO DE IMPLEMENTACIÓN Y EQUIPAMIENTO DEL NUEVO CENTRO DE PROCESAMIENTO DE DATOS DE CONTINGENCIA DEL MINISTERIO DE ECONOMÍA Y FINANZAS, CÓDIGO ÚNICO DE INVERSIÓN N° 2455051</t>
  </si>
  <si>
    <t>CONTRATO N° 022-2023-EF/43.03</t>
  </si>
  <si>
    <t>Vigente</t>
  </si>
  <si>
    <t>Willy / Carlos</t>
  </si>
  <si>
    <t>ADQUISICIÓN DE LICENCIAS DE SOFTWARE DE GESTIÓN DE CONTENIDO EMPRESARIAL - LASERFICHE O EQUIVALENTE PARA EL MINISTERIO DE ECONOMÍA Y FINANZAS, EN EL MARCO DE LA INVERSIÓN CON CÓDIGO ÚNICO N° 2510338</t>
  </si>
  <si>
    <t>CONTRATO N° 002 -2025-EF/43.03</t>
  </si>
  <si>
    <t>Contratación del servicio de monitoreo y soporte técnico especializado para los servicios de producción y base de datos del centro de cómputo del Ministerio de Economía y Finanzas</t>
  </si>
  <si>
    <t>Contrato N°05-2025-EF/43.03/</t>
  </si>
  <si>
    <t>CONTRATACIÓN DE UNA SOLUCIÓN DE VIRTUALIZACIÓN DE APLICACIONES PARA EL MINISTERIO DE ECONOMÍA Y FINANZAS, EN EL MARCO DE LA INVERSIÓN CON CÓDIGO ÚNICO N° 2510338</t>
  </si>
  <si>
    <t>Contrato N°007-2025-EF/43.03</t>
  </si>
  <si>
    <t>Maint International Services S.A.C.</t>
  </si>
  <si>
    <t>Servicio de soporte y actualización de los productos Oracle del MEF</t>
  </si>
  <si>
    <t>N°016-2025-</t>
  </si>
  <si>
    <t>SISTEMAS</t>
  </si>
  <si>
    <t>Lidia y Jimmy</t>
  </si>
  <si>
    <t>EF/43.03</t>
  </si>
  <si>
    <t>ORACLE DEL PERU S.R.L.</t>
  </si>
  <si>
    <t>Servicio suscripción para el uso de productos Microsoft o equivalente</t>
  </si>
  <si>
    <t>Contrato N°105-2023-EFl43.03</t>
  </si>
  <si>
    <t>Daniel Chipana</t>
  </si>
  <si>
    <t>Contratación del servicio de suscripción de licencias de software para la creación, diseño y edición de gráficos, audio y video de la marca Adobe Creative Cloud.</t>
  </si>
  <si>
    <t>CONTRATO N° 093-2025-EF/43.03</t>
  </si>
  <si>
    <t>DATA CLOUD TECHNOLOGY S.A.C</t>
  </si>
  <si>
    <t>VALIDAR FECHA DE VENCIMIENTO</t>
  </si>
  <si>
    <t>Contratación del servicio de suscripción de software de monitoreo y trazabilidad para los servicios tecnológicos del Ministerio de Economía y Finanzas</t>
  </si>
  <si>
    <t>CONTRATO N° 089-2025-EF/43.03</t>
  </si>
  <si>
    <t>Yhon Huatuco</t>
  </si>
  <si>
    <t>Servicio de soporte técnico para plataforma virtual de infraestructura de ti de la marca VMWARE by BROADCOM y CISCO</t>
  </si>
  <si>
    <t>CONTRATO N° 0052-2025-EF/43.03/CM</t>
  </si>
  <si>
    <t>Por vencer</t>
  </si>
  <si>
    <t>ANTHONY MARTÍN CÉSPEDES MOLINA</t>
  </si>
  <si>
    <t>Servicio de notificación masiva por envío de correos electrónicos masivos a través de la plataforma INFOBIP</t>
  </si>
  <si>
    <t>000572-2026</t>
  </si>
  <si>
    <t>Edgar</t>
  </si>
  <si>
    <t>hasta agotar la bolsa de envío de correo</t>
  </si>
  <si>
    <t>electrónico contratada, lo que ocurra primero.</t>
  </si>
  <si>
    <t>Servicio de ingeniería para la actualización y adecuación de la documentación técnica para subsanar las observaciones emitidas en el reporte del Uptime Institute para la certificación TCCF</t>
  </si>
  <si>
    <t>CONTRATO N° 001-2026-EF/43.03/CM</t>
  </si>
  <si>
    <t>Willy</t>
  </si>
  <si>
    <t>(100 días o hasta que Uptime Time levante observaciones con reporte)</t>
  </si>
  <si>
    <t>Servicio de soporte técnico para optimización de rendimiento de la base de datos del Sistema Integrado de Administración Financiera del Estado (SIAF-SP)</t>
  </si>
  <si>
    <t>0001031-2026</t>
  </si>
  <si>
    <t>INFRASTRUCTURE &amp; DATABASE CONSULTING S.A.C.</t>
  </si>
  <si>
    <t>(45 días desde el día siguiente de la activación 28/02 al 13/04)</t>
  </si>
  <si>
    <t>Servicio de renovación de soporte técnico y actualización de software de gestión de contenido empresarial - LASERFICHE</t>
  </si>
  <si>
    <t>LINK-SOFT SOLUTIONS S.A.C</t>
  </si>
  <si>
    <t>Antony y Edgar</t>
  </si>
  <si>
    <t>Servicio de acompañamiento en la ejecución de pruebas de desempeño del sistema de climatización de la sala del MEF</t>
  </si>
  <si>
    <t>Servicio de notificaciones masivas para mensajería empresarial (WhatsApp) a través de la plataforma INFOBIP</t>
  </si>
  <si>
    <t>Edgar / Jair / Juan Carlos Rodriguez</t>
  </si>
  <si>
    <t>PENDIENTE</t>
  </si>
  <si>
    <t>(Max 10 de abril - 25 días luego de la notificación)</t>
  </si>
  <si>
    <t>SERVICIO DE SOPORTE ESPECIALIZADO PARA LA SOLUCION DE PROTECCIÓN DE BASE DE DATOS ORACLE</t>
  </si>
  <si>
    <t>SERVICIO DE SUSCRIPCIÓN DE LICENCIAS DE SOFTWARE PARA EL DESARROLLO DE APLICACIONES EMPRESARIALES DE BAJO CÓDIGO (LOW-CODE)</t>
  </si>
  <si>
    <t>Seidor Technologies Peru S.A.C.</t>
  </si>
  <si>
    <t>Orden de Servicio N°1422-2026</t>
  </si>
  <si>
    <t>Contratación del Servicio de Housing para la Plataforma Tecnológica del Ministerio de Economía y Finanzas</t>
  </si>
  <si>
    <t>Contrato N° 016-2026-EF/43.03</t>
  </si>
  <si>
    <r>
      <t xml:space="preserve">(Presentación plan de trabajo max 10 días desde el dia siguiente de la firma del contrato = </t>
    </r>
    <r>
      <rPr>
        <b/>
        <sz val="9"/>
        <color rgb="FF000000"/>
        <rFont val="Aptos Narrow"/>
        <family val="2"/>
        <scheme val="minor"/>
      </rPr>
      <t>max 18 de abril</t>
    </r>
    <r>
      <rPr>
        <sz val="9"/>
        <color rgb="FF000000"/>
        <rFont val="Aptos Narrow"/>
        <family val="2"/>
        <scheme val="minor"/>
      </rPr>
      <t>)</t>
    </r>
  </si>
  <si>
    <t>(730 días contabilizados a partir del partir de la fecha</t>
  </si>
  <si>
    <t>indicada en el Acta de Inicio de Servicio, la misma que se firmará una vez aprobados los</t>
  </si>
  <si>
    <t>entregables (4.6.a y 4.6.b) detallados en el numeral 4.6 de los Términos de Referencia.)</t>
  </si>
  <si>
    <t>Servicios de suscripciones para productos Red Hat del MEF</t>
  </si>
  <si>
    <t>Contrato N°017-2026-EF/43.03/</t>
  </si>
  <si>
    <t>Open Source Enterprise SAC - OS Enterprise SAC</t>
  </si>
  <si>
    <r>
      <t>(</t>
    </r>
    <r>
      <rPr>
        <b/>
        <sz val="9"/>
        <color rgb="FF000000"/>
        <rFont val="Aptos Narrow"/>
        <family val="2"/>
        <scheme val="minor"/>
      </rPr>
      <t>max 28 de abril</t>
    </r>
    <r>
      <rPr>
        <sz val="9"/>
        <color rgb="FF000000"/>
        <rFont val="Aptos Narrow"/>
        <family val="2"/>
        <scheme val="minor"/>
      </rPr>
      <t xml:space="preserve"> para activar el servicio - 20 dias max dia siguiente de la firma del contrato)</t>
    </r>
  </si>
  <si>
    <t>(730 días contabilizados a partir del día de la activación de las suscripciones)</t>
  </si>
  <si>
    <t>“Contratación del Servicio de Telefonía fija</t>
  </si>
  <si>
    <t>Contrato N° 25-2025-EF/43.03</t>
  </si>
  <si>
    <t>AMERICA MÓVIL S.A.C.</t>
  </si>
  <si>
    <t>I. Bolivar</t>
  </si>
  <si>
    <t>(730 días contabilizados a partir del día de la activación de las suscripciones)  24 meses</t>
  </si>
  <si>
    <t>Contratación del servicio de atención de llamadas telefónicas – Call Center para el Tribunal Fiscal</t>
  </si>
  <si>
    <t xml:space="preserve">contrato N° 008-2025-EF/43.03/CM </t>
  </si>
  <si>
    <t xml:space="preserve">Acta de inicio 09.07.2026 </t>
  </si>
  <si>
    <t>(12 meses contabilizados a partir del día de la activación de las suscripciones)</t>
  </si>
  <si>
    <t>Contratación del Servicio de Mantenimiento Preventivo y Correctivo de la Central Telefónica marca Alcatel-Lucent, modelo OMNIPCX Enterprise “o equivalente” del MEF</t>
  </si>
  <si>
    <t>Contrato N° 019 -2025-EF/43.03</t>
  </si>
  <si>
    <t xml:space="preserve">E-BUSINESS DISTRIBUTION PERU S.A.                </t>
  </si>
  <si>
    <t>Acta de inicio 10.11.2025</t>
  </si>
  <si>
    <t>Periodo de renovacion</t>
  </si>
  <si>
    <t>Monto total</t>
  </si>
  <si>
    <t>Monto 2026</t>
  </si>
  <si>
    <t>Monto 2027</t>
  </si>
  <si>
    <t>Sustento</t>
  </si>
  <si>
    <t>Anual</t>
  </si>
  <si>
    <r>
      <rPr>
        <b/>
        <sz val="9"/>
        <color rgb="FF000000"/>
        <rFont val="Arial"/>
        <family val="2"/>
      </rPr>
      <t xml:space="preserve">Necesidad de renovar: </t>
    </r>
    <r>
      <rPr>
        <sz val="9"/>
        <color rgb="FF000000"/>
        <rFont val="Arial"/>
        <family val="2"/>
      </rPr>
      <t>SI</t>
    </r>
    <r>
      <rPr>
        <b/>
        <sz val="9"/>
        <color rgb="FF000000"/>
        <rFont val="Arial"/>
        <family val="2"/>
      </rPr>
      <t xml:space="preserve">
Descripcion de servicio:
</t>
    </r>
    <r>
      <rPr>
        <sz val="9"/>
        <color rgb="FF000000"/>
        <rFont val="Arial"/>
        <family val="2"/>
      </rPr>
      <t>Suscripción que proporciona licencias de Microsoft Copilot 365 y Power Automate Process, incluyendo el acceso a funcionalidades de inteligencia artificial generativa y automatización de procesos, orientadas a mejorar la productividad de los usuarios y optimizar los flujos de trabajo institucionales.</t>
    </r>
    <r>
      <rPr>
        <b/>
        <sz val="9"/>
        <color rgb="FF000000"/>
        <rFont val="Arial"/>
        <family val="2"/>
      </rPr>
      <t xml:space="preserve">
Alcance (objeto):
</t>
    </r>
    <r>
      <rPr>
        <sz val="9"/>
        <color rgb="FF000000"/>
        <rFont val="Arial"/>
        <family val="2"/>
      </rPr>
      <t>La contratación del servicio tiene como finalidad el proveer y mantener disponibles  licencias de Copilot 365 para la Oficina de Infraestructura Tecnológica y  licencias de Power Automate Process para usuarios de la Oficina de Sistemas de Información de la OGTI.</t>
    </r>
    <r>
      <rPr>
        <b/>
        <sz val="9"/>
        <color rgb="FF000000"/>
        <rFont val="Arial"/>
        <family val="2"/>
      </rPr>
      <t xml:space="preserve">
Riesgo:
</t>
    </r>
    <r>
      <rPr>
        <sz val="9"/>
        <color rgb="FF000000"/>
        <rFont val="Arial"/>
        <family val="2"/>
      </rPr>
      <t>La no renovación ocasionaría la interrupción de funcionalidades de IA y automatización, afectando la productividad, continuidad de procesos y eficiencia operativa.</t>
    </r>
    <r>
      <rPr>
        <b/>
        <sz val="9"/>
        <color rgb="FF000000"/>
        <rFont val="Arial"/>
        <family val="2"/>
      </rPr>
      <t xml:space="preserve">
Sustento - justificacion:
</t>
    </r>
    <r>
      <rPr>
        <sz val="9"/>
        <color rgb="FF000000"/>
        <rFont val="Arial"/>
        <family val="2"/>
      </rPr>
      <t>La contratación es necesaria para garantizar la continuidad de las capacidades de inteligencia artificial y automatización de procesos implementadas sobre la plataforma Microsoft 365, permitiendo mantener los flujos de trabajo institucionales, reducir actividades manuales y asegurar la disponibilidad de las funcionalidades utilizadas por los usuarios.</t>
    </r>
  </si>
  <si>
    <r>
      <rPr>
        <b/>
        <sz val="9"/>
        <color rgb="FF000000"/>
        <rFont val="Arial"/>
        <family val="2"/>
      </rPr>
      <t xml:space="preserve">Necesidad de renovar: </t>
    </r>
    <r>
      <rPr>
        <sz val="9"/>
        <color rgb="FF000000"/>
        <rFont val="Arial"/>
        <family val="2"/>
      </rPr>
      <t>SI</t>
    </r>
    <r>
      <rPr>
        <b/>
        <sz val="9"/>
        <color rgb="FF000000"/>
        <rFont val="Arial"/>
        <family val="2"/>
      </rPr>
      <t xml:space="preserve">
Descripcion de servicio:
</t>
    </r>
    <r>
      <rPr>
        <sz val="9"/>
        <color rgb="FF000000"/>
        <rFont val="Arial"/>
        <family val="2"/>
      </rPr>
      <t xml:space="preserve">Suscripción que proporciona licencias de Power Apps Premium para el desarrollo, ejecución y administración de aplicaciones empresariales de bajo código, facilitando la digitalización y automatización de procesos institucionales sin necesidad de programación compleja.
</t>
    </r>
    <r>
      <rPr>
        <b/>
        <sz val="9"/>
        <color rgb="FF000000"/>
        <rFont val="Arial"/>
        <family val="2"/>
      </rPr>
      <t xml:space="preserve">
Alcance (objeto):
</t>
    </r>
    <r>
      <rPr>
        <sz val="9"/>
        <color rgb="FF000000"/>
        <rFont val="Arial"/>
        <family val="2"/>
      </rPr>
      <t>Brindar licencias para el desarrollo, operación y mantenimiento de aplicaciones institucionales desarrolladas sobre Power Platform para la Oficina de Sistemas de Información de la OGTI.</t>
    </r>
    <r>
      <rPr>
        <b/>
        <sz val="9"/>
        <color rgb="FF000000"/>
        <rFont val="Arial"/>
        <family val="2"/>
      </rPr>
      <t xml:space="preserve">
Riesgo:
</t>
    </r>
    <r>
      <rPr>
        <sz val="9"/>
        <color rgb="FF000000"/>
        <rFont val="Arial"/>
        <family val="2"/>
      </rPr>
      <t>La no renovación impediría el funcionamiento de aplicaciones institucionales desarrolladas sobre la plataforma, afectando procesos digitales y servicios internos.</t>
    </r>
    <r>
      <rPr>
        <b/>
        <sz val="9"/>
        <color rgb="FF000000"/>
        <rFont val="Arial"/>
        <family val="2"/>
      </rPr>
      <t xml:space="preserve">
Sustento - justificacion:
</t>
    </r>
    <r>
      <rPr>
        <sz val="9"/>
        <color rgb="FF000000"/>
        <rFont val="Arial"/>
        <family val="2"/>
      </rPr>
      <t xml:space="preserve">La contratación es necesaria para garantizar la continuidad operativa de las aplicaciones institucionales desarrolladas sobre Microsoft Power Platform, asegurando su ejecución, mantenimiento y evolución, así como la disponibilidad de los conectores y capacidades Premium requeridas por los procesos institucionales.
</t>
    </r>
  </si>
  <si>
    <t>Servicio de suscripción de licencias de software para la gestión de videoconferencias (Modo Cloud) de la Oficina General de Recursos Humanos del Ministerio de Economía y Finanzas</t>
  </si>
  <si>
    <r>
      <rPr>
        <b/>
        <sz val="9"/>
        <color rgb="FF000000"/>
        <rFont val="Arial"/>
        <family val="2"/>
      </rPr>
      <t xml:space="preserve">Necesidad de renovar: </t>
    </r>
    <r>
      <rPr>
        <sz val="9"/>
        <color rgb="FF000000"/>
        <rFont val="Arial"/>
        <family val="2"/>
      </rPr>
      <t>SI</t>
    </r>
    <r>
      <rPr>
        <b/>
        <sz val="9"/>
        <color rgb="FF000000"/>
        <rFont val="Arial"/>
        <family val="2"/>
      </rPr>
      <t xml:space="preserve">
Descripcion de servicio:
</t>
    </r>
    <r>
      <rPr>
        <sz val="9"/>
        <color rgb="FF000000"/>
        <rFont val="Arial"/>
        <family val="2"/>
      </rPr>
      <t>Suscripción que brinda acceso a una plataforma de videoconferencias en la nube, permitiendo realizar reuniones virtuales, capacitaciones, entrevistas y otras actividades de colaboración mediante audio, video y compartición de contenidos.</t>
    </r>
    <r>
      <rPr>
        <b/>
        <sz val="9"/>
        <color rgb="FF000000"/>
        <rFont val="Arial"/>
        <family val="2"/>
      </rPr>
      <t xml:space="preserve">
Alcance (objeto):
</t>
    </r>
    <r>
      <rPr>
        <sz val="9"/>
        <color rgb="FF000000"/>
        <rFont val="Arial"/>
        <family val="2"/>
      </rPr>
      <t>Proveer licencias Zoom Business o equivalente la Oficina General de Recursos Humanos, utilizadas para el proceso de contratación de personal.</t>
    </r>
    <r>
      <rPr>
        <b/>
        <sz val="9"/>
        <color rgb="FF000000"/>
        <rFont val="Arial"/>
        <family val="2"/>
      </rPr>
      <t xml:space="preserve">
Riesgo:
</t>
    </r>
    <r>
      <rPr>
        <sz val="9"/>
        <color rgb="FF000000"/>
        <rFont val="Arial"/>
        <family val="2"/>
      </rPr>
      <t xml:space="preserve">La interrupción del servicio limitaría la ejecución de reuniones virtuales y actividades asociadas al proceso de contratación de personal a cargo de la Oficina General de Recursos Humanos.
</t>
    </r>
    <r>
      <rPr>
        <b/>
        <sz val="9"/>
        <color rgb="FF000000"/>
        <rFont val="Arial"/>
        <family val="2"/>
      </rPr>
      <t xml:space="preserve">
Sustento - justificacion:
</t>
    </r>
    <r>
      <rPr>
        <sz val="9"/>
        <color rgb="FF000000"/>
        <rFont val="Arial"/>
        <family val="2"/>
      </rPr>
      <t>La contratación es necesaria para asegurar la disponibilidad del servicio de videoconferencias utilizado por la Oficina General de Recursos Humanos para el desarrollo de reuniones, capacitaciones, entrevistas y demás actividades institucionales que requieren comunicación remota segura y estable. Cabe mencionar, que la renovación del servicio dependerá de la disponibilidad presupuestal de la Oficina General de Recursos Humanos.</t>
    </r>
  </si>
  <si>
    <t>Servicio de Suscripción de Software de Gestión de Proyectos de la marca Microsoft</t>
  </si>
  <si>
    <r>
      <rPr>
        <b/>
        <sz val="9"/>
        <color rgb="FF000000"/>
        <rFont val="Arial"/>
        <family val="2"/>
      </rPr>
      <t xml:space="preserve">Necesidad de renovar: </t>
    </r>
    <r>
      <rPr>
        <sz val="9"/>
        <color rgb="FF000000"/>
        <rFont val="Arial"/>
        <family val="2"/>
      </rPr>
      <t>SI</t>
    </r>
    <r>
      <rPr>
        <b/>
        <sz val="9"/>
        <color rgb="FF000000"/>
        <rFont val="Arial"/>
        <family val="2"/>
      </rPr>
      <t xml:space="preserve">
Descripcion de servicio:
</t>
    </r>
    <r>
      <rPr>
        <sz val="9"/>
        <color rgb="FF000000"/>
        <rFont val="Arial"/>
        <family val="2"/>
      </rPr>
      <t>Suscripción que proporciona licencias de Microsoft Planner y Project para la planificación, organización, seguimiento y control de proyectos, actividades y recursos, facilitando la gestión colaborativa de iniciativas institucionales.</t>
    </r>
    <r>
      <rPr>
        <b/>
        <sz val="9"/>
        <color rgb="FF000000"/>
        <rFont val="Arial"/>
        <family val="2"/>
      </rPr>
      <t xml:space="preserve">
Alcance (objeto):
</t>
    </r>
    <r>
      <rPr>
        <sz val="9"/>
        <color rgb="FF000000"/>
        <rFont val="Arial"/>
        <family val="2"/>
      </rPr>
      <t>Proveer licencias de Microsoft Planner y Project Plan 3 y 5, para el equipo de gestión de proyectos de la OGTI</t>
    </r>
    <r>
      <rPr>
        <b/>
        <sz val="9"/>
        <color rgb="FF000000"/>
        <rFont val="Arial"/>
        <family val="2"/>
      </rPr>
      <t xml:space="preserve">
Riesgo:
</t>
    </r>
    <r>
      <rPr>
        <sz val="9"/>
        <color rgb="FF000000"/>
        <rFont val="Arial"/>
        <family val="2"/>
      </rPr>
      <t>La no renovación afectaría el seguimiento de proyectos institucionales y la gestión de actividades planificadas.</t>
    </r>
    <r>
      <rPr>
        <b/>
        <sz val="9"/>
        <color rgb="FF000000"/>
        <rFont val="Arial"/>
        <family val="2"/>
      </rPr>
      <t xml:space="preserve">
Sustento - justificacion:
</t>
    </r>
    <r>
      <rPr>
        <sz val="9"/>
        <color rgb="FF000000"/>
        <rFont val="Arial"/>
        <family val="2"/>
      </rPr>
      <t>La contratación es necesaria para mantener la disponibilidad de las herramientas de planificación y seguimiento utilizadas en la gestión de proyectos institucionales, permitiendo la administración de cronogramas, recursos, tareas y el monitoreo del avance de las iniciativas a cargo de las diferentes dependencias.</t>
    </r>
  </si>
  <si>
    <r>
      <rPr>
        <b/>
        <sz val="9"/>
        <color rgb="FF000000"/>
        <rFont val="Arial"/>
        <family val="2"/>
      </rPr>
      <t xml:space="preserve">Necesidad de renovar: </t>
    </r>
    <r>
      <rPr>
        <sz val="9"/>
        <color rgb="FF000000"/>
        <rFont val="Arial"/>
        <family val="2"/>
      </rPr>
      <t>SI</t>
    </r>
    <r>
      <rPr>
        <b/>
        <sz val="9"/>
        <color rgb="FF000000"/>
        <rFont val="Arial"/>
        <family val="2"/>
      </rPr>
      <t xml:space="preserve">
Descripcion de servicio:
</t>
    </r>
    <r>
      <rPr>
        <sz val="9"/>
        <color rgb="FF000000"/>
        <rFont val="Arial"/>
        <family val="2"/>
      </rPr>
      <t>Servicio que proporciona una plataforma de mensajería empresarial para el envío y recepción de notificaciones mediante WhatsApp Business, incluyendo créditos de consumo, sesiones de mensajería y agentes para la atención de comunicaciones institucionales.</t>
    </r>
    <r>
      <rPr>
        <b/>
        <sz val="9"/>
        <color rgb="FF000000"/>
        <rFont val="Arial"/>
        <family val="2"/>
      </rPr>
      <t xml:space="preserve">
Alcance (objeto):
</t>
    </r>
    <r>
      <rPr>
        <sz val="9"/>
        <color rgb="FF000000"/>
        <rFont val="Arial"/>
        <family val="2"/>
      </rPr>
      <t>Proveer servicios de mensajeria WhatsApp, Agentes y sesiones para la gestión de comunicaciones asociadas al proyecto MATIAS</t>
    </r>
    <r>
      <rPr>
        <b/>
        <sz val="9"/>
        <color rgb="FF000000"/>
        <rFont val="Arial"/>
        <family val="2"/>
      </rPr>
      <t xml:space="preserve">
Riesgo:
</t>
    </r>
    <r>
      <rPr>
        <sz val="9"/>
        <color rgb="FF000000"/>
        <rFont val="Arial"/>
        <family val="2"/>
      </rPr>
      <t>La no renovación ocasionaría la interrupción del servicio de mensajería, afectando el envío oportuno de notificaciones y comunicaciones institucionales a los usuarios del MEF, para la atención de requerimientos y/o incidentes asociadas a las aplicaciones institucionales.</t>
    </r>
    <r>
      <rPr>
        <b/>
        <sz val="9"/>
        <color rgb="FF000000"/>
        <rFont val="Arial"/>
        <family val="2"/>
      </rPr>
      <t xml:space="preserve">
Sustento - justificacion:
</t>
    </r>
    <r>
      <rPr>
        <sz val="9"/>
        <color rgb="FF000000"/>
        <rFont val="Arial"/>
        <family val="2"/>
      </rPr>
      <t>La contratación es necesaria para garantizar la continuidad del servicio de mensajería empresarial utilizado por el proyecto MATIAS, asociado al envío automatizado de notificaciones institucionales mediante WhatsApp, asegurando la disponibilidad de la plataforma, la capacidad de envío y la atención de comunicaciones digitales dirigidas a ciudadanos y usuarios internos.</t>
    </r>
  </si>
  <si>
    <t>Servicio de soporte y mantenimiento de software de gestión de recursos humanos</t>
  </si>
  <si>
    <r>
      <rPr>
        <b/>
        <sz val="9"/>
        <color rgb="FF000000"/>
        <rFont val="Arial"/>
        <family val="2"/>
      </rPr>
      <t xml:space="preserve">Necesidad de renovar: </t>
    </r>
    <r>
      <rPr>
        <sz val="9"/>
        <color rgb="FF000000"/>
        <rFont val="Arial"/>
        <family val="2"/>
      </rPr>
      <t>SI</t>
    </r>
    <r>
      <rPr>
        <b/>
        <sz val="9"/>
        <color rgb="FF000000"/>
        <rFont val="Arial"/>
        <family val="2"/>
      </rPr>
      <t xml:space="preserve">
Descripcion de servicio:
</t>
    </r>
    <r>
      <rPr>
        <sz val="9"/>
        <color rgb="FF000000"/>
        <rFont val="Arial"/>
        <family val="2"/>
      </rPr>
      <t>Servicio especializado que comprende lal soporte funcional y técnico, mantenimiento preventivo, correctivo y evolutivo del Sistema de Gestión de Recursos Humanos, garantizando su disponibilidad, actualización y correcto funcionamiento.</t>
    </r>
    <r>
      <rPr>
        <b/>
        <sz val="9"/>
        <color rgb="FF000000"/>
        <rFont val="Arial"/>
        <family val="2"/>
      </rPr>
      <t xml:space="preserve">
Alcance (objeto):
</t>
    </r>
    <r>
      <rPr>
        <sz val="9"/>
        <color rgb="FF000000"/>
        <rFont val="Arial"/>
        <family val="2"/>
      </rPr>
      <t>Brindar los servicios de soporte especializado, mantenimiento, actualización y atención de incidencias del Sistema de Gestión de Recursos Humanos, con la finalidad de asegurar su continuidad operativa y adaptación a los cambios normativos, asi como a las necesidades de la Oficina General de Recursos Humanos..</t>
    </r>
    <r>
      <rPr>
        <b/>
        <sz val="9"/>
        <color rgb="FF000000"/>
        <rFont val="Arial"/>
        <family val="2"/>
      </rPr>
      <t xml:space="preserve">
Riesgo:
</t>
    </r>
    <r>
      <rPr>
        <sz val="9"/>
        <color rgb="FF000000"/>
        <rFont val="Arial"/>
        <family val="2"/>
      </rPr>
      <t>La falta del servicio afectaría la disponibilidad del sistema de gestión de recursos humanos. Asimismo, impediría la atención de incidencias asociadas a dicho sistema, comprometiendo la continuidad de los procesos de gestión del personal.</t>
    </r>
    <r>
      <rPr>
        <b/>
        <sz val="9"/>
        <color rgb="FF000000"/>
        <rFont val="Arial"/>
        <family val="2"/>
      </rPr>
      <t xml:space="preserve">
Sustento - justificacion:
</t>
    </r>
    <r>
      <rPr>
        <sz val="9"/>
        <color rgb="FF000000"/>
        <rFont val="Arial"/>
        <family val="2"/>
      </rPr>
      <t>La contratación es necesaria para garantizar la continuidad operativa del Sistema de Gestión de Recursos Humanos, considerando que se trata de una solución informática desarrollada por un tercero, cuya administración, soporte especializado y mantenimiento corresponden al proveedor. El servicio permitirá atender incidencias, realizar mantenimiento preventivo, correctivo y evolutivo, así como implementar las adecuaciones funcionales y técnicas requeridas por la Oficina General de Recursos Humanos, asegurando la disponibilidad, estabilidad y correcto funcionamiento de la plataforma que soporta los procesos de gestión del talento humano.</t>
    </r>
  </si>
  <si>
    <r>
      <rPr>
        <b/>
        <sz val="9"/>
        <color rgb="FF000000"/>
        <rFont val="Arial"/>
        <family val="2"/>
      </rPr>
      <t xml:space="preserve">Necesidad de renovar: </t>
    </r>
    <r>
      <rPr>
        <sz val="9"/>
        <color rgb="FF000000"/>
        <rFont val="Arial"/>
        <family val="2"/>
      </rPr>
      <t>SI</t>
    </r>
    <r>
      <rPr>
        <b/>
        <sz val="9"/>
        <color rgb="FF000000"/>
        <rFont val="Arial"/>
        <family val="2"/>
      </rPr>
      <t xml:space="preserve">
Descripcion de servicio:
</t>
    </r>
    <r>
      <rPr>
        <sz val="9"/>
        <color rgb="FF000000"/>
        <rFont val="Arial"/>
        <family val="2"/>
      </rPr>
      <t>Servicio en la nube que proporciona acceso a modelos de inteligencia artificial mediante APIs, permitiendo integrar capacidades de procesamiento de lenguaje natural e inteligencia artificial generativa en aplicaciones y servicios institucionales.</t>
    </r>
    <r>
      <rPr>
        <b/>
        <sz val="9"/>
        <color rgb="FF000000"/>
        <rFont val="Arial"/>
        <family val="2"/>
      </rPr>
      <t xml:space="preserve">
Alcance (objeto):
</t>
    </r>
    <r>
      <rPr>
        <sz val="9"/>
        <color rgb="FF000000"/>
        <rFont val="Arial"/>
        <family val="2"/>
      </rPr>
      <t>Proveer capacidad de consumo de servicios de inteligencia artificial mediante APIs en la nube, garantizando su disponibilidad para las aplicaciones y soluciones digitales administradas por la Oficina de Sistemas de Información, a fin de incorporar funcionalidades de inteligencia artificial que optimicen la atención de consultas, el procesamiento de información y la ejecución de operaciones y transacciones realizadas por los usuarios.</t>
    </r>
    <r>
      <rPr>
        <b/>
        <sz val="9"/>
        <color rgb="FF000000"/>
        <rFont val="Arial"/>
        <family val="2"/>
      </rPr>
      <t xml:space="preserve">
Riesgo:
</t>
    </r>
    <r>
      <rPr>
        <sz val="9"/>
        <color rgb="FF000000"/>
        <rFont val="Arial"/>
        <family val="2"/>
      </rPr>
      <t>La no renovación impediría el funcionamiento de las aplicaciones y soluciones digitales que consumen servicios de inteligencia artificial mediante APIs, limitando la implementación de funcionalidades basadas en inteligencia artificial y afectando la optimización de la atención de consultas, el procesamiento de información y la automatización de operaciones y transacciones brindadas a los usuarios.</t>
    </r>
    <r>
      <rPr>
        <b/>
        <sz val="9"/>
        <color rgb="FF000000"/>
        <rFont val="Arial"/>
        <family val="2"/>
      </rPr>
      <t xml:space="preserve">
Sustento - justificacion:
</t>
    </r>
    <r>
      <rPr>
        <sz val="9"/>
        <color rgb="FF000000"/>
        <rFont val="Arial"/>
        <family val="2"/>
      </rPr>
      <t>La contratación es necesaria para garantizar la disponibilidad del servicio de inteligencia artificial mediante APIs en la nube, requerido por las aplicaciones y soluciones digitales administradas por la Oficina de Sistemas de Información. Su contratación permitirá mantener la continuidad operativa de dichas soluciones, así como incorporar capacidades de procesamiento de lenguaje natural, generación de contenido y automatización de procesos, contribuyendo a la mejora de los servicios digitales brindados por la entidad.</t>
    </r>
  </si>
  <si>
    <t>Servicio de suscripción para plataforma en la nube de inteligencia artificial generativa para el desarrollo de soluciones digitales</t>
  </si>
  <si>
    <r>
      <rPr>
        <b/>
        <sz val="9"/>
        <color rgb="FF000000"/>
        <rFont val="Arial"/>
        <family val="2"/>
      </rPr>
      <t xml:space="preserve">Necesidad de renovar: </t>
    </r>
    <r>
      <rPr>
        <sz val="9"/>
        <color rgb="FF000000"/>
        <rFont val="Arial"/>
        <family val="2"/>
      </rPr>
      <t>SI</t>
    </r>
    <r>
      <rPr>
        <b/>
        <sz val="9"/>
        <color rgb="FF000000"/>
        <rFont val="Arial"/>
        <family val="2"/>
      </rPr>
      <t xml:space="preserve">
Descripcion de servicio:
</t>
    </r>
    <r>
      <rPr>
        <sz val="9"/>
        <color rgb="FF000000"/>
        <rFont val="Arial"/>
        <family val="2"/>
      </rPr>
      <t xml:space="preserve">Suscripción que brinda acceso a una plataforma de inteligencia artificial generativa especializada en asistir el desarrollo de software, facilitando la generación de código, documentación técnica, análisis y resolución de problemas durante el ciclo de desarrollo.
</t>
    </r>
    <r>
      <rPr>
        <b/>
        <sz val="9"/>
        <color rgb="FF000000"/>
        <rFont val="Arial"/>
        <family val="2"/>
      </rPr>
      <t xml:space="preserve">
Alcance (objeto):
</t>
    </r>
    <r>
      <rPr>
        <sz val="9"/>
        <color rgb="FF000000"/>
        <rFont val="Arial"/>
        <family val="2"/>
      </rPr>
      <t>Proveer acceso a una plataforma de inteligencia artificial generativa para asistir las actividades de análisis, diseño, desarrollo, pruebas, documentación y mantenimiento de las soluciones informáticas administradas por la Oficina de Sistemas de Información, contribuyendo a optimizar los tiempos de desarrollo y la calidad del software.</t>
    </r>
    <r>
      <rPr>
        <b/>
        <sz val="9"/>
        <color rgb="FF000000"/>
        <rFont val="Arial"/>
        <family val="2"/>
      </rPr>
      <t xml:space="preserve">
Riesgo:
</t>
    </r>
    <r>
      <rPr>
        <sz val="9"/>
        <color rgb="FF000000"/>
        <rFont val="Arial"/>
        <family val="2"/>
      </rPr>
      <t>La no renovación limitaría el uso de herramientas de inteligencia artificial para asistir las actividades de desarrollo de software, incrementando los tiempos de análisis, programación, documentación y mantenimiento de las soluciones informáticas, lo que podría afectar la oportunidad en la atención de los requerimientos tecnológicos de la entidad.</t>
    </r>
    <r>
      <rPr>
        <b/>
        <sz val="9"/>
        <color rgb="FF000000"/>
        <rFont val="Arial"/>
        <family val="2"/>
      </rPr>
      <t xml:space="preserve">
Sustento - justificacion:
</t>
    </r>
    <r>
      <rPr>
        <sz val="9"/>
        <color rgb="FF000000"/>
        <rFont val="Arial"/>
        <family val="2"/>
      </rPr>
      <t>La contratación es necesaria para proporcionar a la Oficina de Sistemas de Información una plataforma especializada de inteligencia artificial generativa que optimice las actividades asociadas al ciclo de desarrollo de software, permitiendo mejorar la productividad en las labores de análisis, programación, documentación, pruebas y mantenimiento de las soluciones informáticas, contribuyendo a una atención más oportuna y eficiente de los requerimientos de desarrollo y evolución de los sistemas institucionales.</t>
    </r>
  </si>
  <si>
    <r>
      <rPr>
        <b/>
        <sz val="9"/>
        <color rgb="FF000000"/>
        <rFont val="Arial"/>
        <family val="2"/>
      </rPr>
      <t xml:space="preserve">Necesidad de renovar: </t>
    </r>
    <r>
      <rPr>
        <sz val="9"/>
        <color rgb="FF000000"/>
        <rFont val="Arial"/>
        <family val="2"/>
      </rPr>
      <t>SI</t>
    </r>
    <r>
      <rPr>
        <b/>
        <sz val="9"/>
        <color rgb="FF000000"/>
        <rFont val="Arial"/>
        <family val="2"/>
      </rPr>
      <t xml:space="preserve">
Descripcion de servicio:
</t>
    </r>
    <r>
      <rPr>
        <sz val="9"/>
        <color rgb="FF000000"/>
        <rFont val="Arial"/>
        <family val="2"/>
      </rPr>
      <t xml:space="preserve">Suscripción que proporciona acceso a un conjunto de aplicaciones profesionales para el diseño gráfico, edición de imágenes, ilustraciones, audio, video y contenido multimedia destinado a la elaboración de materiales institucionales.
</t>
    </r>
    <r>
      <rPr>
        <b/>
        <sz val="9"/>
        <color rgb="FF000000"/>
        <rFont val="Arial"/>
        <family val="2"/>
      </rPr>
      <t xml:space="preserve">
Alcance (objeto):
</t>
    </r>
    <r>
      <rPr>
        <sz val="9"/>
        <color rgb="FF000000"/>
        <rFont val="Arial"/>
        <family val="2"/>
      </rPr>
      <t>Proveer licencias de Adobe Creative Cloud Pro for Teams, garantizando el acceso a herramientas profesionales para la creación, edición y producción de contenido gráfico, audiovisual y multimedia requerido por las diferentes unidades orgánicas del Ministerio de Economía y Finanzas en el desarrollo de sus actividades de comunicación institucional, difusión, capacitación, atención al usuario y demás funciones relacionadas.</t>
    </r>
    <r>
      <rPr>
        <b/>
        <sz val="9"/>
        <color rgb="FF000000"/>
        <rFont val="Arial"/>
        <family val="2"/>
      </rPr>
      <t xml:space="preserve">
Riesgo:
</t>
    </r>
    <r>
      <rPr>
        <sz val="9"/>
        <color rgb="FF000000"/>
        <rFont val="Arial"/>
        <family val="2"/>
      </rPr>
      <t>La no renovación impediría el acceso a las herramientas especializadas para la creación y edición de contenidos gráficos y audiovisuales, afectando la elaboración de piezas comunicacionales, material de difusión, recursos de capacitación y demás productos multimedia requeridos por las diferentes unidades orgánicas para el cumplimiento de sus funciones.</t>
    </r>
    <r>
      <rPr>
        <b/>
        <sz val="9"/>
        <color rgb="FF000000"/>
        <rFont val="Arial"/>
        <family val="2"/>
      </rPr>
      <t xml:space="preserve">
Sustento - justificacion:
</t>
    </r>
    <r>
      <rPr>
        <sz val="9"/>
        <color rgb="FF000000"/>
        <rFont val="Arial"/>
        <family val="2"/>
      </rPr>
      <t>La contratación es necesaria para garantizar la disponibilidad de herramientas profesionales de diseño y edición digital requeridas por las diferentes unidades orgánicas del Ministerio de Economía y Finanzas, entre ellas la Oficina General de Comunicaciones, la Oficina General de Recursos Humanos, la Oficina General de Servicios al Usuario y otras dependencias que elaboran contenidos gráficos, audiovisuales y multimedia para actividades de comunicación institucional, capacitación, difusión de información y atención a los usuarios. La suscripción permitirá mantener la continuidad de estas actividades mediante el uso de software especializado con soporte y actualizaciones del fabricante.</t>
    </r>
  </si>
  <si>
    <t>Power BI Premium (37 Unidades)</t>
  </si>
  <si>
    <t>17/09/2026 - 24/11/26</t>
  </si>
  <si>
    <r>
      <rPr>
        <b/>
        <sz val="9"/>
        <color rgb="FF000000"/>
        <rFont val="Arial"/>
        <family val="2"/>
      </rPr>
      <t xml:space="preserve">Necesidad de renovar: </t>
    </r>
    <r>
      <rPr>
        <sz val="9"/>
        <color rgb="FF000000"/>
        <rFont val="Arial"/>
        <family val="2"/>
      </rPr>
      <t>SI</t>
    </r>
    <r>
      <rPr>
        <b/>
        <sz val="9"/>
        <color rgb="FF000000"/>
        <rFont val="Arial"/>
        <family val="2"/>
      </rPr>
      <t xml:space="preserve">
Descripcion de servicio:
</t>
    </r>
    <r>
      <rPr>
        <sz val="9"/>
        <color rgb="FF000000"/>
        <rFont val="Arial"/>
        <family val="2"/>
      </rPr>
      <t>Suscripción que proporciona licencias de Power BI Premium para la elaboración, publicación y administración de tableros de control, reportes e indicadores, facilitando el análisis de información y la toma de decisiones basada en datos.</t>
    </r>
    <r>
      <rPr>
        <b/>
        <sz val="9"/>
        <color rgb="FF000000"/>
        <rFont val="Arial"/>
        <family val="2"/>
      </rPr>
      <t xml:space="preserve">
Alcance (objeto):
</t>
    </r>
    <r>
      <rPr>
        <sz val="9"/>
        <color rgb="FF000000"/>
        <rFont val="Arial"/>
        <family val="2"/>
      </rPr>
      <t>Proveer licencias de Power BI Premium que permitan el desarrollo, publicación, administración y consumo de tableros de control, reportes e indicadores institucionales, asegurando la disponibilidad de la plataforma para el análisis de datos, la integración de información proveniente de diferentes fuentes y la generación de información estratégica que apoye la gestión y la toma de decisiones en las distintas unidades orgánicas del Ministerio de Economía y Finanzas.</t>
    </r>
    <r>
      <rPr>
        <b/>
        <sz val="9"/>
        <color rgb="FF000000"/>
        <rFont val="Arial"/>
        <family val="2"/>
      </rPr>
      <t xml:space="preserve">
Riesgo:
</t>
    </r>
    <r>
      <rPr>
        <sz val="9"/>
        <color rgb="FF000000"/>
        <rFont val="Arial"/>
        <family val="2"/>
      </rPr>
      <t>La no renovación limitaría la disponibilidad de la plataforma institucional de inteligencia de negocios, afectando la elaboración, publicación y consulta de tableros de control, reportes e indicadores, así como las actividades de análisis de datos, identificación de tendencias, generación de información estratégica y seguimiento de la gestión institucional, impactando la oportunidad en la toma de decisiones basada en evidencia.</t>
    </r>
    <r>
      <rPr>
        <b/>
        <sz val="9"/>
        <color rgb="FF000000"/>
        <rFont val="Arial"/>
        <family val="2"/>
      </rPr>
      <t xml:space="preserve">
Sustento - justificacion:
</t>
    </r>
    <r>
      <rPr>
        <sz val="9"/>
        <color rgb="FF000000"/>
        <rFont val="Arial"/>
        <family val="2"/>
      </rPr>
      <t>La contratación es necesaria para garantizar la continuidad de la plataforma institucional de inteligencia de negocios utilizada por la OGTI para el análisis de datos, integración de información, elaboración de tableros de control, reportes e indicadores de gestión. La disponibilidad de la plataforma permitirá fortalecer las capacidades institucionales para la generación de información estratégica, el análisis de tendencias, la identificación de patrones e indicadores (insights) y el seguimiento del desempeño de los procesos, contribuyendo a una toma de decisiones oportuna, sustentada en datos y alineada con los objetivos institucionales.</t>
    </r>
  </si>
  <si>
    <t>Seguimiento de la contratación</t>
  </si>
  <si>
    <t>Seguimiento del estado del servicio</t>
  </si>
  <si>
    <t xml:space="preserve">Fecha de vencimiento </t>
  </si>
  <si>
    <t>Monto estimado</t>
  </si>
  <si>
    <t>Unidad Ubicación</t>
  </si>
  <si>
    <t>Cantidad de dias inactivo</t>
  </si>
  <si>
    <t>Cantidad de dias sin servicio</t>
  </si>
  <si>
    <t>Comentarios</t>
  </si>
  <si>
    <t>Priorización</t>
  </si>
  <si>
    <t>Estado_Contrato</t>
  </si>
  <si>
    <t>Contratista</t>
  </si>
  <si>
    <t>Fecha de suscripción o notificación_contrato</t>
  </si>
  <si>
    <t>Fecha de inicio</t>
  </si>
  <si>
    <t>Fecha de fin</t>
  </si>
  <si>
    <t>Comentarios_contrato</t>
  </si>
  <si>
    <t>CDIR-2026-0001</t>
  </si>
  <si>
    <t>Licencias no tienen vigencia. Seguimiento anual de soporte</t>
  </si>
  <si>
    <t>Revisar plazos Ronald</t>
  </si>
  <si>
    <t>CDIR-2026-0002</t>
  </si>
  <si>
    <t>Audifonos</t>
  </si>
  <si>
    <t>CDIR-2026-0003</t>
  </si>
  <si>
    <t>CDIR-2026-0004</t>
  </si>
  <si>
    <t>CDIR-2026-0005</t>
  </si>
  <si>
    <t>CDIR-2026-0006</t>
  </si>
  <si>
    <t>CDIR-2026-0007</t>
  </si>
  <si>
    <t>CDIR-2026-0008</t>
  </si>
  <si>
    <t>O.S N° 0000945-2025 (COPILOT)</t>
  </si>
  <si>
    <t>CDIR-2026-0009</t>
  </si>
  <si>
    <t>CDIR-2026-0010</t>
  </si>
  <si>
    <t>CDIR-2026-0011</t>
  </si>
  <si>
    <t>CDIR-2026-0012</t>
  </si>
  <si>
    <t>CDIR-2026-0013</t>
  </si>
  <si>
    <t>CDIR-2026-0014</t>
  </si>
  <si>
    <t>CDIR-2026-0015</t>
  </si>
  <si>
    <t>CDIR-2026-0016</t>
  </si>
  <si>
    <t>O.S N° 0002153-2025</t>
  </si>
  <si>
    <t>CDIR-2026-0017</t>
  </si>
  <si>
    <t>CDIR-2026-0018</t>
  </si>
  <si>
    <t>CDIR-2026-0019</t>
  </si>
  <si>
    <t>CDIR-2026-0020</t>
  </si>
  <si>
    <t>CDIR-2026-0021</t>
  </si>
  <si>
    <t>CDIR-2026-0022</t>
  </si>
  <si>
    <t>Plazo maximo de entrega 29-06-26</t>
  </si>
  <si>
    <t>CDIR-2026-0023</t>
  </si>
  <si>
    <t>Plazo maximo de entrega 28-06-26</t>
  </si>
  <si>
    <t>CDIR-2026-0024</t>
  </si>
  <si>
    <t>Validación de ofertas, fue enviada por Napoleon Alva el 15-0626</t>
  </si>
  <si>
    <t>Plazo maximo de activación 23-06-26</t>
  </si>
  <si>
    <t>CDIR-2026-0025</t>
  </si>
  <si>
    <t>CDIR-2026-0026</t>
  </si>
  <si>
    <t>CDIR-2026-0027</t>
  </si>
  <si>
    <t>CDIR-2026-0028</t>
  </si>
  <si>
    <t>CDIR-2026-0029</t>
  </si>
  <si>
    <t>CDIR-2026-0036
CDIR-2026-0037</t>
  </si>
  <si>
    <t>CDIR-2026-0030</t>
  </si>
  <si>
    <t>CDIR-2026-0031</t>
  </si>
  <si>
    <t>CDIR-2026-0032</t>
  </si>
  <si>
    <t>CDIR-2026-0033</t>
  </si>
  <si>
    <t>CDIR-2026-0034</t>
  </si>
  <si>
    <t>CDIR-2026-0035</t>
  </si>
  <si>
    <t>CDIR-2026-0036</t>
  </si>
  <si>
    <t>*Plazo máximo de implementación 11/07/2026
*Conformidad 127910-2026 (Observado)</t>
  </si>
  <si>
    <t>CDIR-2026-0037</t>
  </si>
  <si>
    <t>*Plazo máximo de implementación 11/07/2026</t>
  </si>
  <si>
    <t>PROC-2026-0001</t>
  </si>
  <si>
    <t>CDIR-2026-0038</t>
  </si>
  <si>
    <t>CDIR-2026-0039</t>
  </si>
  <si>
    <t>revisar jaddi</t>
  </si>
  <si>
    <t>CDIR-2026-0040</t>
  </si>
  <si>
    <t>*Plazo máximo de ejecución 07/07/2026</t>
  </si>
  <si>
    <t>CDIR-2026-0041</t>
  </si>
  <si>
    <t>CDIR-2026-0042</t>
  </si>
  <si>
    <t>*Con fecha 01-06-26, se remitió por correo modelos y precios referenciales</t>
  </si>
  <si>
    <t>CDIR-2026-0043</t>
  </si>
  <si>
    <t>CDIR-2026-0044</t>
  </si>
  <si>
    <t>CDIR-2026-0045</t>
  </si>
  <si>
    <t>PROC-2026-0002</t>
  </si>
  <si>
    <t>CDIR-2026-0046</t>
  </si>
  <si>
    <t>131349-2026 (Apoyo presupuestal)</t>
  </si>
  <si>
    <t>CDIR-2026-0047</t>
  </si>
  <si>
    <t>113265-2026 (Requerimiento)
131349-2026 (Apoyo presupuestal)</t>
  </si>
  <si>
    <t>Tipo Procedimiento</t>
  </si>
  <si>
    <t>Limite</t>
  </si>
  <si>
    <t>Detalle</t>
  </si>
  <si>
    <t>Área usuaria MEF</t>
  </si>
  <si>
    <t>Unidad ubicación</t>
  </si>
  <si>
    <t>Documento contratacion</t>
  </si>
  <si>
    <t>Estado_contrato</t>
  </si>
  <si>
    <t>Requerimiento no ha sido contratado con anterioridad</t>
  </si>
  <si>
    <t>Jefe de Gabinete de Asesores</t>
  </si>
  <si>
    <t>Cuando se trate de un requerimiento programado y no se haya gestionando ninguna acción.</t>
  </si>
  <si>
    <t>Oficina de Abastecimiento</t>
  </si>
  <si>
    <t>Alta</t>
  </si>
  <si>
    <t>Vencido</t>
  </si>
  <si>
    <t>Requerimiento busca dar continuidad a la vigencia de un servicio contratado. Incluyendo mejoras</t>
  </si>
  <si>
    <t>En elaboración</t>
  </si>
  <si>
    <t>Requerimiento se encuentra elaborandose por el área técnica (Existe evidencia de avances)</t>
  </si>
  <si>
    <t>Centro de computo</t>
  </si>
  <si>
    <t>Media</t>
  </si>
  <si>
    <t>Ciberseguridad</t>
  </si>
  <si>
    <t>Contratación Directa-Caja chica</t>
  </si>
  <si>
    <t>Adenda</t>
  </si>
  <si>
    <t>Requerimiento busca contratar prestacionales adicionales a los servicios/bienes al contrato origen</t>
  </si>
  <si>
    <t>Despacho del Vice Ministerio de Hacienda</t>
  </si>
  <si>
    <t>Se solicita apoya presupuestal para atencion del requerimiento</t>
  </si>
  <si>
    <t>OIT-SCIRT</t>
  </si>
  <si>
    <t>Equipo de Respuestas ante Incidentes de Seguridad</t>
  </si>
  <si>
    <t>Baja</t>
  </si>
  <si>
    <t>Requerimiento busca contratar prestacionales adicionales asociados pero no iguales al contrato origen. O busca evitar desabastecimiento</t>
  </si>
  <si>
    <t>Órgano de Control Institucional</t>
  </si>
  <si>
    <t>Programación OGTI</t>
  </si>
  <si>
    <t>Creación de ITEM e inclusión en CMN</t>
  </si>
  <si>
    <t>OIT-Ciberseguridad</t>
  </si>
  <si>
    <t>Requerimiento que no ha sido contratado con anterioridad y su atención será realizada directamente por el AREA USUARIA y cuya conformidad será con VB de la OIT</t>
  </si>
  <si>
    <t>Revisión por parte de especialista de la Oficina de Abastecimiento</t>
  </si>
  <si>
    <t>Despacho del Vice Ministerio de Economía</t>
  </si>
  <si>
    <t>Subsanación de observaciones</t>
  </si>
  <si>
    <t>Subsanación de observaciones realizadas por la Ofician de Abastecimiento</t>
  </si>
  <si>
    <t>OIT-Telefonía</t>
  </si>
  <si>
    <t>Procuraduría Pública</t>
  </si>
  <si>
    <t>Interacción con el mercado a cargo de la Oficina de Abastecimiento</t>
  </si>
  <si>
    <t>Consejo Nacional de Competitividad y la Formalización</t>
  </si>
  <si>
    <t>Absolución de consultas</t>
  </si>
  <si>
    <t>Atención de consulta de proveedores por parte de área tecnica de la OIT</t>
  </si>
  <si>
    <t>Evaluacion de cotizaciones a cargo de la OIT</t>
  </si>
  <si>
    <t>Oficina General de Planeamiento y Presupuesto</t>
  </si>
  <si>
    <t>Cuando la se notifique la O.S u O.C, o en se haya suscrito el contrato</t>
  </si>
  <si>
    <t>Oficina General de Asesoría Jurídica</t>
  </si>
  <si>
    <t>Requerimiento se encuentra publicado en plataforma de SEACE</t>
  </si>
  <si>
    <t>Oficina General de Administración</t>
  </si>
  <si>
    <t>Cuando se desista de la necesidad del servicio</t>
  </si>
  <si>
    <t>Requerimiento que fue remitido a OGTI, sin embargo no corresponde su atención</t>
  </si>
  <si>
    <t>Oficina General de Enlace</t>
  </si>
  <si>
    <t>Requerimiento fue remitido al àrea usuaria para revision y evaluación</t>
  </si>
  <si>
    <t>Oficina General de Integridad Institucional y Riesgos Operativos</t>
  </si>
  <si>
    <t>Cuando el servicio se encuentra en etapa de implementacion y/o proceso de activación</t>
  </si>
  <si>
    <t>Cuando el servicio se encuentra implementado y operando</t>
  </si>
  <si>
    <t>Paralizado</t>
  </si>
  <si>
    <t>Cuando la ejecucion del servicio fue paralizado por factores internos y/o externos (hecho generador de atraso)</t>
  </si>
  <si>
    <t>Dirección General de Contabilidad Pública</t>
  </si>
  <si>
    <t>Cuando el proceso cuenta con buena PRO</t>
  </si>
  <si>
    <t>Cuando se encuentra en proceso de brindarse la conformidad</t>
  </si>
  <si>
    <t>Dirección General de Gestión Fiscal de los Recursos Humanos</t>
  </si>
  <si>
    <t>Cuando el requerimiento será reformulado y solicitado con otra HR</t>
  </si>
  <si>
    <t>Dirección General de Política de Ingresos Públicos</t>
  </si>
  <si>
    <t>Dirección General de Asuntos de Economía Internacional, Competencia y Productividad</t>
  </si>
  <si>
    <t>Dirección General de Mercados Financieros y Previsional Privado</t>
  </si>
  <si>
    <t>Dirección General de Política de Promoción de Inversión Privada</t>
  </si>
  <si>
    <t>144624-2026</t>
  </si>
  <si>
    <t>Base ajustable para laptop</t>
  </si>
  <si>
    <t>Adquisición de base ajustable para computador portátil-ConectaMEF Junin</t>
  </si>
  <si>
    <t>Con fecha 30-07-26 se remitió, vía correo electrónico, proyecto de correo a Soporte Técnico</t>
  </si>
  <si>
    <t>https://mefgobpe1.sharepoint.com/:f:/t/DireccindelaOficinadeInfraestructuraTecnolgica/IgBKbKB4mdN1SbnHlk94zmKFAWpR_Tc_rBU2iTcW91S3K-c?e=Fwifh1</t>
  </si>
  <si>
    <t>Servicio alquiler de unidad de almacenamiento de discos</t>
  </si>
  <si>
    <t>Alquilas NAS</t>
  </si>
  <si>
    <t>Con fecha 20-07-26 se remitió el proyecto de tdr a Lidia Tinco (computo)</t>
  </si>
  <si>
    <t>https://mefgobpe1.sharepoint.com/:f:/t/DireccindelaOficinadeInfraestructuraTecnolgica/IgA5-0vHLWEmT4Z3IG1lrtl7AYwnXDPyPvY7J6TbTIzL31E?e=t1W2bI</t>
  </si>
  <si>
    <t>Conformidad (HR 163396-2026)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</si>
</sst>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m/yy;@"/>
    <numFmt numFmtId="165" formatCode="&quot;S/&quot;\ #,##0.00"/>
    <numFmt numFmtId="166" formatCode="dd/mm/yy;@"/>
  </numFmts>
  <fonts count="34">
    <font>
      <sz val="11"/>
      <color theme="1"/>
      <name val="Aptos Narrow"/>
      <family val="2"/>
      <scheme val="minor"/>
    </font>
    <font>
      <b/>
      <sz val="11"/>
      <color theme="0"/>
      <name val="Arial"/>
      <family val="2"/>
    </font>
    <font>
      <sz val="9"/>
      <color theme="1"/>
      <name val="Arial"/>
      <family val="2"/>
    </font>
    <font>
      <sz val="9"/>
      <color rgb="FF000000"/>
      <name val="Arial"/>
      <family val="2"/>
    </font>
    <font>
      <b/>
      <sz val="10"/>
      <color rgb="FFFFFFFF"/>
      <name val="Aptos Narrow"/>
      <family val="2"/>
      <scheme val="minor"/>
    </font>
    <font>
      <b/>
      <sz val="14"/>
      <color theme="0"/>
      <name val="Aptos Narrow"/>
      <family val="2"/>
      <scheme val="minor"/>
    </font>
    <font>
      <b/>
      <sz val="9"/>
      <color rgb="FF000000"/>
      <name val="Aptos Narrow"/>
      <family val="2"/>
      <scheme val="minor"/>
    </font>
    <font>
      <sz val="9"/>
      <color rgb="FF000000"/>
      <name val="Aptos Narrow"/>
      <family val="2"/>
      <scheme val="minor"/>
    </font>
    <font>
      <b/>
      <sz val="9"/>
      <color rgb="FFFF0000"/>
      <name val="Aptos Narrow"/>
      <family val="2"/>
      <scheme val="minor"/>
    </font>
    <font>
      <sz val="9"/>
      <name val="Aptos Narrow"/>
      <family val="2"/>
      <scheme val="minor"/>
    </font>
    <font>
      <b/>
      <sz val="9"/>
      <name val="Aptos Narrow"/>
      <family val="2"/>
      <scheme val="minor"/>
    </font>
    <font>
      <sz val="9"/>
      <color rgb="FF242424"/>
      <name val="Aptos Narrow"/>
      <family val="2"/>
      <scheme val="minor"/>
    </font>
    <font>
      <b/>
      <sz val="11"/>
      <color theme="0"/>
      <name val="Aptos Narrow"/>
      <family val="2"/>
      <scheme val="minor"/>
    </font>
    <font>
      <b/>
      <sz val="11"/>
      <color theme="1"/>
      <name val="Aptos Narrow"/>
      <family val="2"/>
      <scheme val="minor"/>
    </font>
    <font>
      <b/>
      <sz val="11"/>
      <name val="Arial"/>
      <family val="2"/>
    </font>
    <font>
      <sz val="8"/>
      <name val="Aptos Narrow"/>
      <family val="2"/>
      <scheme val="minor"/>
    </font>
    <font>
      <sz val="10"/>
      <color theme="1"/>
      <name val="Aptos Narrow"/>
      <family val="2"/>
      <scheme val="minor"/>
    </font>
    <font>
      <sz val="10"/>
      <color theme="1"/>
      <name val="Arial Unicode MS"/>
    </font>
    <font>
      <sz val="9"/>
      <color indexed="81"/>
      <name val="Tahoma"/>
      <family val="2"/>
    </font>
    <font>
      <b/>
      <sz val="9"/>
      <color indexed="81"/>
      <name val="Tahoma"/>
      <family val="2"/>
    </font>
    <font>
      <u/>
      <sz val="11"/>
      <color theme="10"/>
      <name val="Aptos Narrow"/>
      <family val="2"/>
      <scheme val="minor"/>
    </font>
    <font>
      <sz val="9"/>
      <color theme="1"/>
      <name val="Arial"/>
    </font>
    <font>
      <sz val="9"/>
      <color rgb="FF000000"/>
      <name val="Arial"/>
    </font>
    <font>
      <b/>
      <sz val="16"/>
      <color theme="0"/>
      <name val="Aptos Narrow"/>
      <family val="2"/>
      <scheme val="minor"/>
    </font>
    <font>
      <b/>
      <sz val="16"/>
      <name val="Aptos Narrow"/>
      <family val="2"/>
      <scheme val="minor"/>
    </font>
    <font>
      <b/>
      <sz val="9"/>
      <color rgb="FF000000"/>
      <name val="Arial"/>
      <family val="2"/>
    </font>
    <font>
      <b/>
      <sz val="16"/>
      <color theme="0" tint="-4.9989318521683403E-2"/>
      <name val="Aptos Narrow"/>
      <family val="2"/>
      <scheme val="minor"/>
    </font>
    <font>
      <b/>
      <sz val="9"/>
      <color theme="1"/>
      <name val="Arial"/>
      <family val="2"/>
    </font>
    <font>
      <b/>
      <sz val="11"/>
      <name val="Arial"/>
    </font>
    <font>
      <b/>
      <sz val="9"/>
      <color rgb="FF000000"/>
      <name val="Arial"/>
    </font>
    <font>
      <sz val="11"/>
      <color rgb="FF000000"/>
      <name val="Aptos Narrow"/>
      <scheme val="minor"/>
    </font>
    <font>
      <sz val="11"/>
      <color rgb="FF000000"/>
      <name val="Aptos Narrow"/>
      <family val="2"/>
      <scheme val="minor"/>
    </font>
    <font>
      <sz val="8"/>
      <color theme="1"/>
      <name val="Arial"/>
      <family val="2"/>
    </font>
    <font>
      <sz val="8"/>
      <color theme="1"/>
      <name val="Aptos Narrow"/>
      <family val="2"/>
      <scheme val="minor"/>
    </font>
  </fonts>
  <fills count="27">
    <fill>
      <patternFill patternType="none"/>
    </fill>
    <fill>
      <patternFill patternType="gray125"/>
    </fill>
    <fill>
      <patternFill patternType="solid">
        <fgColor rgb="FFC00000"/>
        <bgColor indexed="64"/>
      </patternFill>
    </fill>
    <fill>
      <patternFill patternType="solid">
        <fgColor theme="4"/>
        <bgColor indexed="64"/>
      </patternFill>
    </fill>
    <fill>
      <patternFill patternType="solid">
        <fgColor theme="0"/>
        <bgColor indexed="64"/>
      </patternFill>
    </fill>
    <fill>
      <patternFill patternType="solid">
        <fgColor rgb="FFC00000"/>
        <bgColor rgb="FF000000"/>
      </patternFill>
    </fill>
    <fill>
      <patternFill patternType="solid">
        <fgColor rgb="FFDAF2D0"/>
        <bgColor rgb="FF000000"/>
      </patternFill>
    </fill>
    <fill>
      <patternFill patternType="solid">
        <fgColor rgb="FFFFFFCC"/>
        <bgColor rgb="FF000000"/>
      </patternFill>
    </fill>
    <fill>
      <patternFill patternType="solid">
        <fgColor rgb="FFFFC000"/>
        <bgColor rgb="FF000000"/>
      </patternFill>
    </fill>
    <fill>
      <patternFill patternType="solid">
        <fgColor rgb="FFF7C7AC"/>
        <bgColor rgb="FF000000"/>
      </patternFill>
    </fill>
    <fill>
      <patternFill patternType="solid">
        <fgColor theme="4"/>
        <bgColor rgb="FF000000"/>
      </patternFill>
    </fill>
    <fill>
      <patternFill patternType="solid">
        <fgColor theme="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9"/>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0" tint="-0.14999847407452621"/>
        <bgColor indexed="64"/>
      </patternFill>
    </fill>
    <fill>
      <patternFill patternType="solid">
        <fgColor rgb="FF99CCFF"/>
        <bgColor indexed="64"/>
      </patternFill>
    </fill>
    <fill>
      <patternFill patternType="solid">
        <fgColor theme="0" tint="-4.9989318521683403E-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B7B6D"/>
        <bgColor indexed="64"/>
      </patternFill>
    </fill>
  </fills>
  <borders count="55">
    <border>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rgb="FF000000"/>
      </top>
      <bottom/>
      <diagonal/>
    </border>
    <border>
      <left style="thin">
        <color rgb="FF000000"/>
      </left>
      <right/>
      <top style="medium">
        <color rgb="FF000000"/>
      </top>
      <bottom/>
      <diagonal/>
    </border>
    <border>
      <left style="thin">
        <color indexed="64"/>
      </left>
      <right/>
      <top style="medium">
        <color rgb="FF000000"/>
      </top>
      <bottom/>
      <diagonal/>
    </border>
    <border>
      <left style="thin">
        <color indexed="64"/>
      </left>
      <right style="thin">
        <color indexed="64"/>
      </right>
      <top style="medium">
        <color rgb="FF00000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style="medium">
        <color indexed="64"/>
      </left>
      <right/>
      <top/>
      <bottom/>
      <diagonal/>
    </border>
    <border>
      <left style="thin">
        <color indexed="64"/>
      </left>
      <right/>
      <top/>
      <bottom/>
      <diagonal/>
    </border>
    <border>
      <left style="thin">
        <color indexed="64"/>
      </left>
      <right style="medium">
        <color indexed="64"/>
      </right>
      <top/>
      <bottom/>
      <diagonal/>
    </border>
    <border>
      <left style="medium">
        <color indexed="64"/>
      </left>
      <right/>
      <top/>
      <bottom style="medium">
        <color rgb="FF000000"/>
      </bottom>
      <diagonal/>
    </border>
    <border>
      <left/>
      <right/>
      <top/>
      <bottom style="medium">
        <color rgb="FF000000"/>
      </bottom>
      <diagonal/>
    </border>
    <border>
      <left/>
      <right style="medium">
        <color indexed="64"/>
      </right>
      <top/>
      <bottom style="medium">
        <color rgb="FF000000"/>
      </bottom>
      <diagonal/>
    </border>
    <border>
      <left/>
      <right/>
      <top/>
      <bottom style="medium">
        <color indexed="64"/>
      </bottom>
      <diagonal/>
    </border>
    <border>
      <left/>
      <right style="medium">
        <color indexed="64"/>
      </right>
      <top style="medium">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style="thin">
        <color rgb="FF000000"/>
      </left>
      <right/>
      <top style="medium">
        <color rgb="FF000000"/>
      </top>
      <bottom style="medium">
        <color indexed="64"/>
      </bottom>
      <diagonal/>
    </border>
    <border>
      <left style="thin">
        <color rgb="FF000000"/>
      </left>
      <right style="medium">
        <color indexed="64"/>
      </right>
      <top style="medium">
        <color rgb="FF000000"/>
      </top>
      <bottom style="medium">
        <color indexed="64"/>
      </bottom>
      <diagonal/>
    </border>
  </borders>
  <cellStyleXfs count="2">
    <xf numFmtId="0" fontId="0" fillId="0" borderId="0"/>
    <xf numFmtId="0" fontId="20" fillId="0" borderId="0" applyNumberFormat="0" applyFill="0" applyBorder="0" applyAlignment="0" applyProtection="0"/>
  </cellStyleXfs>
  <cellXfs count="290">
    <xf numFmtId="0" fontId="0" fillId="0" borderId="0" xfId="0"/>
    <xf numFmtId="0" fontId="0" fillId="0" borderId="0" xfId="0" applyAlignment="1">
      <alignment wrapText="1"/>
    </xf>
    <xf numFmtId="0" fontId="0" fillId="0" borderId="0" xfId="0" applyAlignment="1">
      <alignment vertical="center" wrapText="1"/>
    </xf>
    <xf numFmtId="0" fontId="4" fillId="5" borderId="0" xfId="0" applyFont="1" applyFill="1" applyAlignment="1">
      <alignment horizontal="center" vertical="center" wrapText="1"/>
    </xf>
    <xf numFmtId="0" fontId="4" fillId="10" borderId="0" xfId="0" applyFont="1" applyFill="1" applyAlignment="1">
      <alignment horizontal="center" vertical="center" wrapText="1"/>
    </xf>
    <xf numFmtId="0" fontId="6" fillId="0" borderId="4" xfId="0" applyFont="1" applyBorder="1" applyAlignment="1">
      <alignment horizontal="center" vertical="center" wrapText="1"/>
    </xf>
    <xf numFmtId="0" fontId="6" fillId="6" borderId="4" xfId="0" applyFont="1" applyFill="1" applyBorder="1" applyAlignment="1">
      <alignment horizontal="center" vertical="center" wrapText="1"/>
    </xf>
    <xf numFmtId="0" fontId="7" fillId="0" borderId="4" xfId="0" applyFont="1" applyBorder="1" applyAlignment="1">
      <alignment horizontal="center" vertical="center" wrapText="1"/>
    </xf>
    <xf numFmtId="0" fontId="7" fillId="0" borderId="3" xfId="0" applyFont="1" applyBorder="1" applyAlignment="1">
      <alignment horizontal="center" vertical="center" wrapText="1"/>
    </xf>
    <xf numFmtId="14" fontId="6" fillId="7" borderId="3" xfId="0" applyNumberFormat="1" applyFont="1" applyFill="1" applyBorder="1" applyAlignment="1">
      <alignment horizontal="center" vertical="center" wrapText="1"/>
    </xf>
    <xf numFmtId="14" fontId="7" fillId="0" borderId="3" xfId="0" applyNumberFormat="1" applyFont="1" applyBorder="1" applyAlignment="1">
      <alignment horizontal="center" vertical="center" wrapText="1"/>
    </xf>
    <xf numFmtId="14" fontId="6" fillId="0" borderId="3" xfId="0" applyNumberFormat="1" applyFont="1" applyBorder="1" applyAlignment="1">
      <alignment horizontal="center" vertical="center" wrapText="1"/>
    </xf>
    <xf numFmtId="0" fontId="6" fillId="0" borderId="5" xfId="0" applyFont="1" applyBorder="1" applyAlignment="1">
      <alignment horizontal="center" vertical="center" wrapText="1"/>
    </xf>
    <xf numFmtId="0" fontId="7" fillId="0" borderId="5" xfId="0" applyFont="1" applyBorder="1" applyAlignment="1">
      <alignment horizontal="center" vertical="center" wrapText="1"/>
    </xf>
    <xf numFmtId="14" fontId="6" fillId="0" borderId="7" xfId="0" applyNumberFormat="1" applyFont="1" applyBorder="1" applyAlignment="1">
      <alignment horizontal="center" vertical="center" wrapText="1"/>
    </xf>
    <xf numFmtId="0" fontId="6" fillId="0" borderId="6" xfId="0" applyFont="1"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8" fillId="7" borderId="3" xfId="0" applyFont="1" applyFill="1" applyBorder="1" applyAlignment="1">
      <alignment horizontal="center" vertical="center" wrapText="1"/>
    </xf>
    <xf numFmtId="0" fontId="6" fillId="8" borderId="4" xfId="0" applyFont="1" applyFill="1" applyBorder="1" applyAlignment="1">
      <alignment horizontal="center" vertical="center" wrapText="1"/>
    </xf>
    <xf numFmtId="0" fontId="7" fillId="0" borderId="10" xfId="0" applyFont="1" applyBorder="1" applyAlignment="1">
      <alignment horizontal="center" vertical="center" wrapText="1"/>
    </xf>
    <xf numFmtId="14" fontId="6" fillId="9" borderId="7" xfId="0" applyNumberFormat="1" applyFont="1" applyFill="1" applyBorder="1" applyAlignment="1">
      <alignment horizontal="center" vertical="center" wrapText="1"/>
    </xf>
    <xf numFmtId="0" fontId="6" fillId="9" borderId="8" xfId="0" applyFont="1" applyFill="1" applyBorder="1" applyAlignment="1">
      <alignment horizontal="center" vertical="center" wrapText="1"/>
    </xf>
    <xf numFmtId="0" fontId="8" fillId="9" borderId="7" xfId="0" applyFont="1" applyFill="1" applyBorder="1" applyAlignment="1">
      <alignment horizontal="center" vertical="center" wrapText="1"/>
    </xf>
    <xf numFmtId="0" fontId="7" fillId="9" borderId="8" xfId="0" applyFont="1" applyFill="1" applyBorder="1" applyAlignment="1">
      <alignment horizontal="center" vertical="center" wrapText="1"/>
    </xf>
    <xf numFmtId="0" fontId="8" fillId="7" borderId="7"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9" fillId="7" borderId="10" xfId="0" applyFont="1" applyFill="1" applyBorder="1" applyAlignment="1">
      <alignment horizontal="center" vertical="center" wrapText="1"/>
    </xf>
    <xf numFmtId="0" fontId="9" fillId="7" borderId="8" xfId="0" applyFont="1" applyFill="1" applyBorder="1" applyAlignment="1">
      <alignment horizontal="center" vertical="center" wrapText="1"/>
    </xf>
    <xf numFmtId="14" fontId="10" fillId="0" borderId="7" xfId="0" applyNumberFormat="1" applyFont="1" applyBorder="1" applyAlignment="1">
      <alignment horizontal="center" vertical="center" wrapText="1"/>
    </xf>
    <xf numFmtId="0" fontId="7" fillId="7" borderId="10"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1" xfId="0" applyFont="1" applyFill="1" applyBorder="1" applyAlignment="1">
      <alignment horizontal="center" vertical="center" wrapText="1"/>
    </xf>
    <xf numFmtId="0" fontId="7" fillId="0" borderId="4" xfId="0" applyFont="1" applyBorder="1" applyAlignment="1">
      <alignment horizontal="left" vertical="center" wrapText="1"/>
    </xf>
    <xf numFmtId="0" fontId="0" fillId="0" borderId="0" xfId="0" applyAlignment="1">
      <alignment horizontal="center" vertical="center" wrapText="1"/>
    </xf>
    <xf numFmtId="0" fontId="0" fillId="4" borderId="0" xfId="0" applyFill="1" applyAlignment="1">
      <alignment wrapText="1"/>
    </xf>
    <xf numFmtId="0" fontId="0" fillId="4" borderId="3" xfId="0" applyFill="1" applyBorder="1" applyAlignment="1">
      <alignment horizontal="center" vertical="center" wrapText="1"/>
    </xf>
    <xf numFmtId="0" fontId="13" fillId="11" borderId="3" xfId="0" applyFont="1" applyFill="1" applyBorder="1" applyAlignment="1">
      <alignment horizontal="center" vertical="center" wrapText="1"/>
    </xf>
    <xf numFmtId="0" fontId="0" fillId="4" borderId="0" xfId="0" applyFill="1" applyAlignment="1">
      <alignment horizontal="center" vertical="center" wrapText="1"/>
    </xf>
    <xf numFmtId="0" fontId="12" fillId="3" borderId="3" xfId="0" applyFont="1" applyFill="1" applyBorder="1" applyAlignment="1">
      <alignment horizontal="center" vertical="center" wrapText="1"/>
    </xf>
    <xf numFmtId="0" fontId="16" fillId="4" borderId="0" xfId="0" applyFont="1" applyFill="1" applyAlignment="1">
      <alignment wrapText="1"/>
    </xf>
    <xf numFmtId="0" fontId="16" fillId="4" borderId="3" xfId="0" applyFont="1" applyFill="1" applyBorder="1" applyAlignment="1">
      <alignment horizontal="center" vertical="center" wrapText="1"/>
    </xf>
    <xf numFmtId="49" fontId="16" fillId="4" borderId="3" xfId="0" applyNumberFormat="1" applyFont="1" applyFill="1" applyBorder="1" applyAlignment="1">
      <alignment horizontal="center" vertical="center" wrapText="1"/>
    </xf>
    <xf numFmtId="0" fontId="17" fillId="0" borderId="3" xfId="0" applyFont="1" applyBorder="1" applyAlignment="1">
      <alignment vertical="center" wrapText="1"/>
    </xf>
    <xf numFmtId="0" fontId="17" fillId="0" borderId="3" xfId="0" applyFont="1" applyBorder="1" applyAlignment="1">
      <alignment horizontal="center" vertical="center" wrapText="1"/>
    </xf>
    <xf numFmtId="0" fontId="13" fillId="11" borderId="3" xfId="0" applyFont="1" applyFill="1" applyBorder="1" applyAlignment="1">
      <alignment vertical="center" wrapText="1"/>
    </xf>
    <xf numFmtId="0" fontId="0" fillId="0" borderId="0" xfId="0" applyAlignment="1">
      <alignment horizontal="center" wrapText="1"/>
    </xf>
    <xf numFmtId="0" fontId="0" fillId="4" borderId="0" xfId="0" applyFill="1" applyAlignment="1">
      <alignment horizontal="center" wrapText="1"/>
    </xf>
    <xf numFmtId="0" fontId="14" fillId="12" borderId="21" xfId="0" applyFont="1" applyFill="1" applyBorder="1" applyAlignment="1">
      <alignment horizontal="center" vertical="center" wrapText="1"/>
    </xf>
    <xf numFmtId="0" fontId="14" fillId="12" borderId="22" xfId="0" applyFont="1" applyFill="1" applyBorder="1" applyAlignment="1">
      <alignment horizontal="center" vertical="center" wrapText="1"/>
    </xf>
    <xf numFmtId="0" fontId="14" fillId="13" borderId="22" xfId="0" applyFont="1" applyFill="1" applyBorder="1" applyAlignment="1">
      <alignment horizontal="center" vertical="center" wrapText="1"/>
    </xf>
    <xf numFmtId="0" fontId="14" fillId="16" borderId="21" xfId="0" applyFont="1" applyFill="1" applyBorder="1" applyAlignment="1">
      <alignment horizontal="center" vertical="center" wrapText="1"/>
    </xf>
    <xf numFmtId="164" fontId="14" fillId="16" borderId="23" xfId="0" applyNumberFormat="1" applyFont="1" applyFill="1" applyBorder="1" applyAlignment="1">
      <alignment horizontal="center" vertical="center" wrapText="1"/>
    </xf>
    <xf numFmtId="0" fontId="14" fillId="15" borderId="23" xfId="0" applyFont="1" applyFill="1" applyBorder="1" applyAlignment="1">
      <alignment horizontal="center" vertical="center" wrapText="1"/>
    </xf>
    <xf numFmtId="0" fontId="14" fillId="18" borderId="21" xfId="0" applyFont="1" applyFill="1" applyBorder="1" applyAlignment="1">
      <alignment horizontal="center" vertical="center" wrapText="1"/>
    </xf>
    <xf numFmtId="0" fontId="14" fillId="18" borderId="23" xfId="0" applyFont="1" applyFill="1" applyBorder="1" applyAlignment="1">
      <alignment horizontal="center" vertical="center" wrapText="1"/>
    </xf>
    <xf numFmtId="0" fontId="14" fillId="11" borderId="23" xfId="0" applyFont="1" applyFill="1" applyBorder="1" applyAlignment="1">
      <alignment horizontal="center" vertical="center" wrapText="1"/>
    </xf>
    <xf numFmtId="0" fontId="14" fillId="18" borderId="24" xfId="0" applyFont="1" applyFill="1" applyBorder="1" applyAlignment="1">
      <alignment horizontal="center" vertical="center" wrapText="1"/>
    </xf>
    <xf numFmtId="0" fontId="16" fillId="0" borderId="3" xfId="0" applyFont="1" applyBorder="1" applyAlignment="1">
      <alignment horizontal="left" vertical="center" wrapText="1"/>
    </xf>
    <xf numFmtId="0" fontId="3" fillId="0" borderId="3" xfId="0" applyFont="1" applyBorder="1" applyAlignment="1">
      <alignment vertical="center" wrapText="1"/>
    </xf>
    <xf numFmtId="0" fontId="2" fillId="0" borderId="3" xfId="0" applyFont="1" applyBorder="1" applyAlignment="1">
      <alignment horizontal="center" vertical="center" wrapText="1"/>
    </xf>
    <xf numFmtId="14" fontId="2" fillId="0" borderId="3" xfId="0" applyNumberFormat="1" applyFont="1" applyBorder="1" applyAlignment="1">
      <alignment horizontal="center" vertical="center" wrapText="1"/>
    </xf>
    <xf numFmtId="0" fontId="3" fillId="0" borderId="3" xfId="0" applyFont="1" applyBorder="1" applyAlignment="1">
      <alignment horizontal="center" vertical="center" wrapText="1"/>
    </xf>
    <xf numFmtId="165" fontId="2" fillId="0" borderId="3" xfId="0" applyNumberFormat="1" applyFont="1" applyBorder="1" applyAlignment="1">
      <alignment horizontal="center" vertical="center" wrapText="1"/>
    </xf>
    <xf numFmtId="166" fontId="3" fillId="0" borderId="3"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0" fontId="2" fillId="19" borderId="3" xfId="0" applyFont="1" applyFill="1" applyBorder="1" applyAlignment="1">
      <alignment horizontal="center" vertical="center" wrapText="1"/>
    </xf>
    <xf numFmtId="3" fontId="2" fillId="0" borderId="3" xfId="0" applyNumberFormat="1" applyFont="1" applyBorder="1" applyAlignment="1">
      <alignment horizontal="center" vertical="center" wrapText="1"/>
    </xf>
    <xf numFmtId="0" fontId="20" fillId="0" borderId="3" xfId="1" applyFill="1" applyBorder="1" applyAlignment="1">
      <alignment vertical="top" wrapText="1"/>
    </xf>
    <xf numFmtId="3" fontId="2" fillId="19" borderId="3" xfId="0" applyNumberFormat="1" applyFont="1" applyFill="1" applyBorder="1" applyAlignment="1">
      <alignment horizontal="center" vertical="center" wrapText="1"/>
    </xf>
    <xf numFmtId="3" fontId="3" fillId="19" borderId="3" xfId="0" applyNumberFormat="1" applyFont="1" applyFill="1" applyBorder="1" applyAlignment="1">
      <alignment horizontal="center" vertical="center" wrapText="1"/>
    </xf>
    <xf numFmtId="14" fontId="3" fillId="19" borderId="3" xfId="0" applyNumberFormat="1" applyFont="1" applyFill="1" applyBorder="1" applyAlignment="1">
      <alignment horizontal="center" vertical="center" wrapText="1"/>
    </xf>
    <xf numFmtId="14" fontId="3" fillId="0" borderId="3" xfId="0" applyNumberFormat="1" applyFont="1" applyBorder="1" applyAlignment="1">
      <alignment horizontal="center" vertical="center" wrapText="1"/>
    </xf>
    <xf numFmtId="0" fontId="3" fillId="19" borderId="3" xfId="0" applyFont="1" applyFill="1" applyBorder="1" applyAlignment="1">
      <alignment horizontal="center" vertical="center" wrapText="1"/>
    </xf>
    <xf numFmtId="0" fontId="3" fillId="20" borderId="3" xfId="0" applyFont="1" applyFill="1" applyBorder="1" applyAlignment="1">
      <alignment horizontal="center" vertical="center" wrapText="1"/>
    </xf>
    <xf numFmtId="49" fontId="16" fillId="4" borderId="3" xfId="0" applyNumberFormat="1" applyFont="1" applyFill="1" applyBorder="1" applyAlignment="1">
      <alignment horizontal="left" vertical="center" wrapText="1"/>
    </xf>
    <xf numFmtId="3" fontId="21" fillId="0" borderId="3" xfId="0" applyNumberFormat="1" applyFont="1" applyBorder="1" applyAlignment="1">
      <alignment horizontal="center" vertical="center" wrapText="1"/>
    </xf>
    <xf numFmtId="0" fontId="20" fillId="0" borderId="3" xfId="1" applyBorder="1" applyAlignment="1">
      <alignment vertical="top" wrapText="1"/>
    </xf>
    <xf numFmtId="0" fontId="22" fillId="0" borderId="3" xfId="0" applyFont="1" applyBorder="1" applyAlignment="1">
      <alignment horizontal="center" vertical="center" wrapText="1"/>
    </xf>
    <xf numFmtId="165" fontId="21" fillId="0" borderId="3" xfId="0" applyNumberFormat="1" applyFont="1" applyBorder="1" applyAlignment="1">
      <alignment horizontal="center" vertical="center" wrapText="1"/>
    </xf>
    <xf numFmtId="49" fontId="21" fillId="0" borderId="3" xfId="0" applyNumberFormat="1" applyFont="1" applyBorder="1" applyAlignment="1">
      <alignment horizontal="center" vertical="center" wrapText="1"/>
    </xf>
    <xf numFmtId="14" fontId="21" fillId="0" borderId="3" xfId="0" applyNumberFormat="1" applyFont="1" applyBorder="1" applyAlignment="1">
      <alignment horizontal="center" vertical="center" wrapText="1"/>
    </xf>
    <xf numFmtId="0" fontId="22" fillId="0" borderId="3" xfId="0" applyFont="1" applyBorder="1" applyAlignment="1">
      <alignment vertical="center" wrapText="1"/>
    </xf>
    <xf numFmtId="14" fontId="22" fillId="0" borderId="3" xfId="0" applyNumberFormat="1" applyFont="1" applyBorder="1" applyAlignment="1">
      <alignment horizontal="center" vertical="center" wrapText="1"/>
    </xf>
    <xf numFmtId="166" fontId="22" fillId="0" borderId="3" xfId="0" applyNumberFormat="1" applyFont="1" applyBorder="1" applyAlignment="1">
      <alignment horizontal="center" vertical="center" wrapText="1"/>
    </xf>
    <xf numFmtId="0" fontId="3" fillId="0" borderId="3" xfId="0" applyFont="1" applyBorder="1" applyAlignment="1">
      <alignment horizontal="left" vertical="center" wrapText="1"/>
    </xf>
    <xf numFmtId="0" fontId="21" fillId="0" borderId="3" xfId="0" applyFont="1" applyBorder="1" applyAlignment="1">
      <alignment horizontal="center" vertical="center" wrapText="1"/>
    </xf>
    <xf numFmtId="0" fontId="22" fillId="20" borderId="3" xfId="0" applyFont="1" applyFill="1" applyBorder="1" applyAlignment="1">
      <alignment horizontal="center" vertical="center" wrapText="1"/>
    </xf>
    <xf numFmtId="49" fontId="22" fillId="0" borderId="3" xfId="0" applyNumberFormat="1" applyFont="1" applyBorder="1" applyAlignment="1">
      <alignment horizontal="center" vertical="center" wrapText="1"/>
    </xf>
    <xf numFmtId="0" fontId="21" fillId="19" borderId="3" xfId="0" applyFont="1" applyFill="1" applyBorder="1" applyAlignment="1">
      <alignment horizontal="center" vertical="center" wrapText="1"/>
    </xf>
    <xf numFmtId="3" fontId="21" fillId="19" borderId="3" xfId="0" applyNumberFormat="1" applyFont="1" applyFill="1" applyBorder="1" applyAlignment="1">
      <alignment horizontal="center" vertical="center" wrapText="1"/>
    </xf>
    <xf numFmtId="3" fontId="22" fillId="19" borderId="3" xfId="0" applyNumberFormat="1" applyFont="1" applyFill="1" applyBorder="1" applyAlignment="1">
      <alignment horizontal="center" vertical="center" wrapText="1"/>
    </xf>
    <xf numFmtId="14" fontId="22" fillId="19" borderId="3" xfId="0" applyNumberFormat="1" applyFont="1" applyFill="1" applyBorder="1" applyAlignment="1">
      <alignment horizontal="center" vertical="center" wrapText="1"/>
    </xf>
    <xf numFmtId="0" fontId="22" fillId="19" borderId="3" xfId="0" applyFont="1" applyFill="1" applyBorder="1" applyAlignment="1">
      <alignment horizontal="center" vertical="center" wrapText="1"/>
    </xf>
    <xf numFmtId="0" fontId="22" fillId="0" borderId="3" xfId="0" applyFont="1" applyBorder="1" applyAlignment="1">
      <alignment horizontal="left" vertical="center" wrapText="1"/>
    </xf>
    <xf numFmtId="0" fontId="0" fillId="4" borderId="28" xfId="0" applyFill="1" applyBorder="1" applyAlignment="1">
      <alignment horizontal="center" vertical="center" wrapText="1"/>
    </xf>
    <xf numFmtId="0" fontId="2" fillId="0" borderId="28" xfId="0" applyFont="1" applyBorder="1" applyAlignment="1">
      <alignment horizontal="center" vertical="center" wrapText="1"/>
    </xf>
    <xf numFmtId="0" fontId="21" fillId="0" borderId="28" xfId="0" applyFont="1" applyBorder="1" applyAlignment="1">
      <alignment horizontal="center" vertical="center" wrapText="1"/>
    </xf>
    <xf numFmtId="0" fontId="2" fillId="0" borderId="30" xfId="0" applyFont="1" applyBorder="1" applyAlignment="1">
      <alignment horizontal="center" vertical="center" wrapText="1"/>
    </xf>
    <xf numFmtId="14" fontId="2" fillId="0" borderId="31" xfId="0" applyNumberFormat="1" applyFont="1" applyBorder="1" applyAlignment="1">
      <alignment horizontal="center" vertical="center" wrapText="1"/>
    </xf>
    <xf numFmtId="0" fontId="3" fillId="0" borderId="31" xfId="0" applyFont="1" applyBorder="1" applyAlignment="1">
      <alignment vertical="center" wrapText="1"/>
    </xf>
    <xf numFmtId="0" fontId="3" fillId="20" borderId="31" xfId="0" applyFont="1" applyFill="1" applyBorder="1" applyAlignment="1">
      <alignment horizontal="center" vertical="center" wrapText="1"/>
    </xf>
    <xf numFmtId="0" fontId="3" fillId="0" borderId="31" xfId="0" applyFont="1" applyBorder="1" applyAlignment="1">
      <alignment horizontal="center" vertical="center" wrapText="1"/>
    </xf>
    <xf numFmtId="165" fontId="2" fillId="0" borderId="31" xfId="0" applyNumberFormat="1" applyFont="1" applyBorder="1" applyAlignment="1">
      <alignment horizontal="center" vertical="center" wrapText="1"/>
    </xf>
    <xf numFmtId="49" fontId="2" fillId="0" borderId="31" xfId="0" applyNumberFormat="1" applyFont="1" applyBorder="1" applyAlignment="1">
      <alignment horizontal="center" vertical="center" wrapText="1"/>
    </xf>
    <xf numFmtId="3" fontId="2" fillId="0" borderId="31" xfId="0" applyNumberFormat="1" applyFont="1" applyBorder="1" applyAlignment="1">
      <alignment horizontal="center" vertical="center" wrapText="1"/>
    </xf>
    <xf numFmtId="49" fontId="21" fillId="0" borderId="31" xfId="0" applyNumberFormat="1" applyFont="1" applyBorder="1" applyAlignment="1">
      <alignment horizontal="center" vertical="center" wrapText="1"/>
    </xf>
    <xf numFmtId="0" fontId="3" fillId="0" borderId="8" xfId="0" applyFont="1" applyBorder="1" applyAlignment="1">
      <alignment vertical="center" wrapText="1"/>
    </xf>
    <xf numFmtId="0" fontId="3" fillId="0" borderId="8" xfId="0" applyFont="1" applyBorder="1" applyAlignment="1">
      <alignment horizontal="center" vertical="center" wrapText="1"/>
    </xf>
    <xf numFmtId="165" fontId="2" fillId="0" borderId="8" xfId="0" applyNumberFormat="1" applyFont="1" applyBorder="1" applyAlignment="1">
      <alignment horizontal="center" vertical="center" wrapText="1"/>
    </xf>
    <xf numFmtId="14" fontId="3" fillId="0" borderId="8" xfId="0" applyNumberFormat="1" applyFont="1" applyBorder="1" applyAlignment="1">
      <alignment horizontal="center" vertical="center" wrapText="1"/>
    </xf>
    <xf numFmtId="0" fontId="25" fillId="19" borderId="3" xfId="0" applyFont="1" applyFill="1" applyBorder="1" applyAlignment="1">
      <alignment horizontal="center" vertical="center" wrapText="1"/>
    </xf>
    <xf numFmtId="0" fontId="2" fillId="24" borderId="8" xfId="0" applyFont="1" applyFill="1" applyBorder="1" applyAlignment="1">
      <alignment horizontal="center" vertical="center" wrapText="1"/>
    </xf>
    <xf numFmtId="14" fontId="0" fillId="0" borderId="0" xfId="0" applyNumberFormat="1" applyAlignment="1">
      <alignment wrapText="1"/>
    </xf>
    <xf numFmtId="49" fontId="3" fillId="0" borderId="28" xfId="0" applyNumberFormat="1" applyFont="1" applyBorder="1" applyAlignment="1">
      <alignment horizontal="center" vertical="center" wrapText="1"/>
    </xf>
    <xf numFmtId="49" fontId="22" fillId="0" borderId="28" xfId="0" applyNumberFormat="1" applyFont="1" applyBorder="1" applyAlignment="1">
      <alignment horizontal="center" vertical="center" wrapText="1"/>
    </xf>
    <xf numFmtId="49" fontId="3" fillId="0" borderId="30" xfId="0" applyNumberFormat="1" applyFont="1" applyBorder="1" applyAlignment="1">
      <alignment horizontal="center" vertical="center" wrapText="1"/>
    </xf>
    <xf numFmtId="0" fontId="2" fillId="24" borderId="34" xfId="0" applyFont="1" applyFill="1" applyBorder="1" applyAlignment="1">
      <alignment horizontal="center" vertical="center" wrapText="1"/>
    </xf>
    <xf numFmtId="166" fontId="3" fillId="0" borderId="29" xfId="0" applyNumberFormat="1" applyFont="1" applyBorder="1" applyAlignment="1">
      <alignment horizontal="center" vertical="center" wrapText="1"/>
    </xf>
    <xf numFmtId="14" fontId="2" fillId="0" borderId="29" xfId="0" applyNumberFormat="1" applyFont="1" applyBorder="1" applyAlignment="1">
      <alignment horizontal="center" vertical="center" wrapText="1"/>
    </xf>
    <xf numFmtId="166" fontId="22" fillId="0" borderId="29" xfId="0" applyNumberFormat="1" applyFont="1" applyBorder="1" applyAlignment="1">
      <alignment horizontal="center" vertical="center" wrapText="1"/>
    </xf>
    <xf numFmtId="166" fontId="3" fillId="0" borderId="32" xfId="0" applyNumberFormat="1" applyFont="1" applyBorder="1" applyAlignment="1">
      <alignment horizontal="center" vertical="center" wrapText="1"/>
    </xf>
    <xf numFmtId="14" fontId="2" fillId="20" borderId="31" xfId="0" applyNumberFormat="1" applyFont="1" applyFill="1" applyBorder="1" applyAlignment="1">
      <alignment horizontal="center" vertical="center" wrapText="1"/>
    </xf>
    <xf numFmtId="14" fontId="22" fillId="25" borderId="3" xfId="0" applyNumberFormat="1" applyFont="1" applyFill="1" applyBorder="1" applyAlignment="1">
      <alignment horizontal="center" vertical="center" wrapText="1"/>
    </xf>
    <xf numFmtId="165" fontId="27" fillId="17" borderId="3" xfId="0" applyNumberFormat="1" applyFont="1" applyFill="1" applyBorder="1" applyAlignment="1">
      <alignment horizontal="center" vertical="center" wrapText="1"/>
    </xf>
    <xf numFmtId="0" fontId="3" fillId="17" borderId="3" xfId="0" applyFont="1" applyFill="1" applyBorder="1" applyAlignment="1">
      <alignment vertical="center" wrapText="1"/>
    </xf>
    <xf numFmtId="165" fontId="0" fillId="0" borderId="0" xfId="0" applyNumberFormat="1" applyAlignment="1">
      <alignment wrapText="1"/>
    </xf>
    <xf numFmtId="14" fontId="21" fillId="0" borderId="3" xfId="0" applyNumberFormat="1" applyFont="1" applyBorder="1" applyAlignment="1">
      <alignment horizontal="left" vertical="center" wrapText="1"/>
    </xf>
    <xf numFmtId="14" fontId="2" fillId="0" borderId="3" xfId="0" applyNumberFormat="1" applyFont="1" applyBorder="1" applyAlignment="1">
      <alignment horizontal="left" vertical="center" wrapText="1"/>
    </xf>
    <xf numFmtId="14" fontId="21" fillId="0" borderId="3" xfId="0" applyNumberFormat="1" applyFont="1" applyBorder="1" applyAlignment="1">
      <alignment horizontal="left" vertical="top" wrapText="1"/>
    </xf>
    <xf numFmtId="49" fontId="21" fillId="0" borderId="35" xfId="0" applyNumberFormat="1" applyFont="1" applyBorder="1" applyAlignment="1">
      <alignment horizontal="center" vertical="center" wrapText="1"/>
    </xf>
    <xf numFmtId="0" fontId="0" fillId="0" borderId="0" xfId="0" applyAlignment="1">
      <alignment horizontal="center"/>
    </xf>
    <xf numFmtId="0" fontId="14" fillId="22" borderId="3" xfId="0" applyFont="1" applyFill="1" applyBorder="1" applyAlignment="1">
      <alignment horizontal="center" vertical="center" wrapText="1"/>
    </xf>
    <xf numFmtId="0" fontId="1" fillId="3" borderId="3" xfId="0" applyFont="1" applyFill="1" applyBorder="1" applyAlignment="1">
      <alignment horizontal="center" vertical="center" wrapText="1"/>
    </xf>
    <xf numFmtId="165" fontId="3" fillId="0" borderId="8" xfId="0" applyNumberFormat="1" applyFont="1" applyBorder="1" applyAlignment="1">
      <alignment horizontal="center" vertical="center" wrapText="1"/>
    </xf>
    <xf numFmtId="0" fontId="3" fillId="0" borderId="8" xfId="0" applyFont="1" applyBorder="1" applyAlignment="1">
      <alignment horizontal="left" vertical="center" wrapText="1"/>
    </xf>
    <xf numFmtId="0" fontId="20" fillId="0" borderId="35" xfId="1" applyFill="1" applyBorder="1" applyAlignment="1">
      <alignment vertical="top" wrapText="1"/>
    </xf>
    <xf numFmtId="0" fontId="20" fillId="0" borderId="35" xfId="1" applyBorder="1" applyAlignment="1">
      <alignment vertical="top" wrapText="1"/>
    </xf>
    <xf numFmtId="49" fontId="20" fillId="0" borderId="35" xfId="1" applyNumberFormat="1" applyBorder="1" applyAlignment="1">
      <alignment horizontal="center" vertical="center" wrapText="1"/>
    </xf>
    <xf numFmtId="49" fontId="20" fillId="0" borderId="35" xfId="1" applyNumberFormat="1" applyBorder="1" applyAlignment="1">
      <alignment horizontal="left" vertical="center" wrapText="1"/>
    </xf>
    <xf numFmtId="49" fontId="21" fillId="0" borderId="35" xfId="0" applyNumberFormat="1" applyFont="1" applyBorder="1" applyAlignment="1">
      <alignment vertical="center" wrapText="1"/>
    </xf>
    <xf numFmtId="49" fontId="20" fillId="0" borderId="44" xfId="1" applyNumberFormat="1" applyBorder="1" applyAlignment="1">
      <alignment horizontal="center" vertical="center" wrapText="1"/>
    </xf>
    <xf numFmtId="0" fontId="20" fillId="0" borderId="35" xfId="1" applyBorder="1" applyAlignment="1">
      <alignment vertical="center" wrapText="1"/>
    </xf>
    <xf numFmtId="49" fontId="20" fillId="0" borderId="45" xfId="1" applyNumberFormat="1" applyBorder="1" applyAlignment="1">
      <alignment horizontal="center" vertical="center" wrapText="1"/>
    </xf>
    <xf numFmtId="0" fontId="20" fillId="0" borderId="0" xfId="1" applyBorder="1" applyAlignment="1">
      <alignment wrapText="1"/>
    </xf>
    <xf numFmtId="49" fontId="21" fillId="0" borderId="46" xfId="0" applyNumberFormat="1" applyFont="1" applyBorder="1" applyAlignment="1">
      <alignment horizontal="center" vertical="center" wrapText="1"/>
    </xf>
    <xf numFmtId="0" fontId="21" fillId="24" borderId="8" xfId="0" applyFont="1" applyFill="1" applyBorder="1" applyAlignment="1">
      <alignment horizontal="center" vertical="center" wrapText="1"/>
    </xf>
    <xf numFmtId="14" fontId="3" fillId="0" borderId="34" xfId="0" applyNumberFormat="1" applyFont="1" applyBorder="1" applyAlignment="1">
      <alignment horizontal="center" vertical="center" wrapText="1"/>
    </xf>
    <xf numFmtId="3" fontId="2" fillId="0" borderId="35" xfId="0" applyNumberFormat="1" applyFont="1" applyBorder="1" applyAlignment="1">
      <alignment horizontal="center" vertical="center" wrapText="1"/>
    </xf>
    <xf numFmtId="3" fontId="21" fillId="0" borderId="35" xfId="0" applyNumberFormat="1" applyFont="1" applyBorder="1" applyAlignment="1">
      <alignment horizontal="center" vertical="center" wrapText="1"/>
    </xf>
    <xf numFmtId="14" fontId="2" fillId="0" borderId="35" xfId="0" applyNumberFormat="1" applyFont="1" applyBorder="1" applyAlignment="1">
      <alignment horizontal="center" vertical="center" wrapText="1"/>
    </xf>
    <xf numFmtId="14" fontId="21" fillId="0" borderId="35" xfId="0" applyNumberFormat="1" applyFont="1" applyBorder="1" applyAlignment="1">
      <alignment horizontal="center" vertical="center" wrapText="1"/>
    </xf>
    <xf numFmtId="49" fontId="21" fillId="0" borderId="4" xfId="0" applyNumberFormat="1" applyFont="1" applyBorder="1" applyAlignment="1">
      <alignment horizontal="center" vertical="center" wrapText="1"/>
    </xf>
    <xf numFmtId="14" fontId="2" fillId="0" borderId="4" xfId="0" applyNumberFormat="1" applyFont="1" applyBorder="1" applyAlignment="1">
      <alignment horizontal="center" vertical="center" wrapText="1"/>
    </xf>
    <xf numFmtId="0" fontId="2" fillId="19" borderId="10" xfId="0" applyFont="1" applyFill="1" applyBorder="1" applyAlignment="1">
      <alignment horizontal="center" vertical="center" wrapText="1"/>
    </xf>
    <xf numFmtId="0" fontId="25" fillId="19" borderId="4" xfId="0" applyFont="1" applyFill="1" applyBorder="1" applyAlignment="1">
      <alignment horizontal="center" vertical="center" wrapText="1"/>
    </xf>
    <xf numFmtId="14" fontId="0" fillId="0" borderId="3" xfId="0" applyNumberFormat="1" applyBorder="1" applyAlignment="1">
      <alignment horizontal="center" vertical="center"/>
    </xf>
    <xf numFmtId="49" fontId="2" fillId="0" borderId="35" xfId="0" applyNumberFormat="1" applyFont="1" applyBorder="1" applyAlignment="1">
      <alignment horizontal="center" vertical="center" wrapText="1"/>
    </xf>
    <xf numFmtId="3" fontId="2" fillId="0" borderId="34" xfId="0" applyNumberFormat="1" applyFont="1" applyBorder="1" applyAlignment="1">
      <alignment horizontal="center" vertical="center" wrapText="1"/>
    </xf>
    <xf numFmtId="166" fontId="22" fillId="0" borderId="35" xfId="0" applyNumberFormat="1" applyFont="1" applyBorder="1" applyAlignment="1">
      <alignment horizontal="center" vertical="center" wrapText="1"/>
    </xf>
    <xf numFmtId="49" fontId="2" fillId="0" borderId="4" xfId="0" applyNumberFormat="1" applyFont="1" applyBorder="1" applyAlignment="1">
      <alignment horizontal="center" vertical="center" wrapText="1"/>
    </xf>
    <xf numFmtId="14" fontId="21" fillId="0" borderId="4" xfId="0" applyNumberFormat="1" applyFont="1" applyBorder="1" applyAlignment="1">
      <alignment horizontal="center" vertical="center" wrapText="1"/>
    </xf>
    <xf numFmtId="0" fontId="2" fillId="0" borderId="34" xfId="0" applyFont="1" applyBorder="1" applyAlignment="1">
      <alignment horizontal="center" vertical="center" wrapText="1"/>
    </xf>
    <xf numFmtId="14" fontId="2" fillId="20" borderId="35" xfId="0" applyNumberFormat="1" applyFont="1" applyFill="1" applyBorder="1" applyAlignment="1">
      <alignment horizontal="center" vertical="center" wrapText="1"/>
    </xf>
    <xf numFmtId="14" fontId="21" fillId="20" borderId="35" xfId="0" applyNumberFormat="1" applyFont="1" applyFill="1" applyBorder="1" applyAlignment="1">
      <alignment horizontal="center" vertical="center" wrapText="1"/>
    </xf>
    <xf numFmtId="0" fontId="3" fillId="20" borderId="4" xfId="0" applyFont="1" applyFill="1" applyBorder="1" applyAlignment="1">
      <alignment horizontal="center" vertical="center" wrapText="1"/>
    </xf>
    <xf numFmtId="0" fontId="22" fillId="20" borderId="4" xfId="0" applyFont="1" applyFill="1" applyBorder="1" applyAlignment="1">
      <alignment horizontal="center" vertical="center" wrapText="1"/>
    </xf>
    <xf numFmtId="0" fontId="3" fillId="0" borderId="35" xfId="0" applyFont="1" applyBorder="1" applyAlignment="1">
      <alignment horizontal="center" vertical="center" wrapText="1"/>
    </xf>
    <xf numFmtId="14" fontId="22" fillId="0" borderId="35" xfId="0" applyNumberFormat="1" applyFont="1" applyBorder="1" applyAlignment="1">
      <alignment horizontal="center" vertical="center" wrapText="1"/>
    </xf>
    <xf numFmtId="0" fontId="22" fillId="0" borderId="35" xfId="0" applyFont="1" applyBorder="1" applyAlignment="1">
      <alignment horizontal="center" vertical="center" wrapText="1"/>
    </xf>
    <xf numFmtId="0" fontId="3" fillId="0" borderId="47" xfId="0" applyFont="1" applyBorder="1" applyAlignment="1">
      <alignment horizontal="center" vertical="center" wrapText="1"/>
    </xf>
    <xf numFmtId="14" fontId="3" fillId="0" borderId="4" xfId="0" applyNumberFormat="1" applyFont="1" applyBorder="1" applyAlignment="1">
      <alignment horizontal="center" vertical="center" wrapText="1"/>
    </xf>
    <xf numFmtId="14" fontId="22" fillId="0" borderId="4" xfId="0" applyNumberFormat="1" applyFont="1" applyBorder="1" applyAlignment="1">
      <alignment horizontal="center" vertical="center" wrapText="1"/>
    </xf>
    <xf numFmtId="14" fontId="3" fillId="0" borderId="48" xfId="0" applyNumberFormat="1" applyFont="1" applyBorder="1" applyAlignment="1">
      <alignment horizontal="center" vertical="center" wrapText="1"/>
    </xf>
    <xf numFmtId="14" fontId="21" fillId="20" borderId="3" xfId="0" applyNumberFormat="1" applyFont="1" applyFill="1" applyBorder="1" applyAlignment="1">
      <alignment horizontal="center" vertical="center" wrapText="1"/>
    </xf>
    <xf numFmtId="0" fontId="21" fillId="11" borderId="3" xfId="0" applyFont="1" applyFill="1" applyBorder="1" applyAlignment="1">
      <alignment horizontal="center" vertical="center" wrapText="1"/>
    </xf>
    <xf numFmtId="0" fontId="0" fillId="0" borderId="3" xfId="0" applyBorder="1" applyAlignment="1">
      <alignment horizontal="center" vertical="center" wrapText="1"/>
    </xf>
    <xf numFmtId="0" fontId="31" fillId="0" borderId="3" xfId="0" applyFont="1" applyBorder="1" applyAlignment="1">
      <alignment horizontal="center" vertical="center" wrapText="1"/>
    </xf>
    <xf numFmtId="0" fontId="2" fillId="4" borderId="3" xfId="0" applyFont="1" applyFill="1" applyBorder="1" applyAlignment="1">
      <alignment horizontal="center" vertical="center" wrapText="1"/>
    </xf>
    <xf numFmtId="0" fontId="20" fillId="0" borderId="0" xfId="1" applyAlignment="1">
      <alignment vertical="center" wrapText="1"/>
    </xf>
    <xf numFmtId="0" fontId="22" fillId="26" borderId="3" xfId="0" applyFont="1" applyFill="1" applyBorder="1" applyAlignment="1">
      <alignment vertical="center" wrapText="1"/>
    </xf>
    <xf numFmtId="0" fontId="0" fillId="4" borderId="49" xfId="0" applyFill="1" applyBorder="1" applyAlignment="1">
      <alignment horizontal="center" vertical="center" wrapText="1"/>
    </xf>
    <xf numFmtId="0" fontId="2" fillId="20" borderId="8" xfId="0" applyFont="1" applyFill="1" applyBorder="1" applyAlignment="1">
      <alignment horizontal="center" vertical="center" wrapText="1"/>
    </xf>
    <xf numFmtId="0" fontId="2" fillId="0" borderId="10" xfId="0" applyFont="1" applyBorder="1" applyAlignment="1">
      <alignment horizontal="center" vertical="center" wrapText="1"/>
    </xf>
    <xf numFmtId="0" fontId="3" fillId="20" borderId="8" xfId="0" applyFont="1" applyFill="1" applyBorder="1" applyAlignment="1">
      <alignment horizontal="center" vertical="center" wrapText="1"/>
    </xf>
    <xf numFmtId="14" fontId="2" fillId="0" borderId="8" xfId="0" applyNumberFormat="1" applyFont="1" applyBorder="1" applyAlignment="1">
      <alignment horizontal="center" vertical="center" wrapText="1"/>
    </xf>
    <xf numFmtId="166" fontId="3" fillId="0" borderId="50" xfId="0" applyNumberFormat="1" applyFont="1" applyBorder="1" applyAlignment="1">
      <alignment horizontal="center" vertical="center" wrapText="1"/>
    </xf>
    <xf numFmtId="49" fontId="3" fillId="0" borderId="49" xfId="0" applyNumberFormat="1" applyFont="1" applyBorder="1" applyAlignment="1">
      <alignment horizontal="center" vertical="center" wrapText="1"/>
    </xf>
    <xf numFmtId="49" fontId="2" fillId="0" borderId="8" xfId="0" applyNumberFormat="1" applyFont="1" applyBorder="1" applyAlignment="1">
      <alignment horizontal="center" vertical="center" wrapText="1"/>
    </xf>
    <xf numFmtId="166" fontId="22" fillId="0" borderId="10" xfId="0" applyNumberFormat="1" applyFont="1" applyBorder="1" applyAlignment="1">
      <alignment horizontal="center" vertical="center" wrapText="1"/>
    </xf>
    <xf numFmtId="3" fontId="2" fillId="0" borderId="10" xfId="0" applyNumberFormat="1" applyFont="1" applyBorder="1" applyAlignment="1">
      <alignment horizontal="center" vertical="center" wrapText="1"/>
    </xf>
    <xf numFmtId="49" fontId="2" fillId="0" borderId="10" xfId="0" applyNumberFormat="1" applyFont="1" applyBorder="1" applyAlignment="1">
      <alignment horizontal="center" vertical="center" wrapText="1"/>
    </xf>
    <xf numFmtId="3" fontId="2" fillId="0" borderId="8" xfId="0" applyNumberFormat="1" applyFont="1" applyBorder="1" applyAlignment="1">
      <alignment horizontal="center" vertical="center" wrapText="1"/>
    </xf>
    <xf numFmtId="0" fontId="3" fillId="0" borderId="37" xfId="0" applyFont="1" applyBorder="1" applyAlignment="1">
      <alignment horizontal="center" vertical="center" wrapText="1"/>
    </xf>
    <xf numFmtId="0" fontId="2" fillId="19" borderId="8" xfId="0" applyFont="1" applyFill="1" applyBorder="1" applyAlignment="1">
      <alignment horizontal="center" vertical="center" wrapText="1"/>
    </xf>
    <xf numFmtId="14" fontId="3" fillId="0" borderId="9" xfId="0" applyNumberFormat="1" applyFont="1" applyBorder="1" applyAlignment="1">
      <alignment horizontal="center" vertical="center" wrapText="1"/>
    </xf>
    <xf numFmtId="14" fontId="3" fillId="0" borderId="10" xfId="0" applyNumberFormat="1" applyFont="1" applyBorder="1" applyAlignment="1">
      <alignment horizontal="center" vertical="center" wrapText="1"/>
    </xf>
    <xf numFmtId="0" fontId="25" fillId="19" borderId="8" xfId="0" applyFont="1" applyFill="1" applyBorder="1" applyAlignment="1">
      <alignment horizontal="center" vertical="center" wrapText="1"/>
    </xf>
    <xf numFmtId="0" fontId="20" fillId="0" borderId="45" xfId="1" applyFill="1" applyBorder="1" applyAlignment="1">
      <alignment vertical="top" wrapText="1"/>
    </xf>
    <xf numFmtId="0" fontId="14" fillId="22" borderId="51" xfId="0" applyFont="1" applyFill="1" applyBorder="1" applyAlignment="1">
      <alignment horizontal="center" vertical="center" wrapText="1"/>
    </xf>
    <xf numFmtId="0" fontId="14" fillId="22" borderId="52" xfId="0" applyFont="1" applyFill="1" applyBorder="1" applyAlignment="1">
      <alignment horizontal="center" vertical="center" wrapText="1"/>
    </xf>
    <xf numFmtId="0" fontId="14" fillId="20" borderId="53" xfId="0" applyFont="1" applyFill="1" applyBorder="1" applyAlignment="1">
      <alignment horizontal="center" vertical="center" wrapText="1"/>
    </xf>
    <xf numFmtId="0" fontId="28" fillId="22" borderId="53" xfId="0" applyFont="1" applyFill="1" applyBorder="1" applyAlignment="1">
      <alignment horizontal="center" vertical="center" wrapText="1"/>
    </xf>
    <xf numFmtId="0" fontId="14" fillId="22" borderId="53" xfId="0" applyFont="1" applyFill="1" applyBorder="1" applyAlignment="1">
      <alignment horizontal="center" vertical="center" wrapText="1"/>
    </xf>
    <xf numFmtId="0" fontId="14" fillId="20" borderId="54" xfId="0" applyFont="1" applyFill="1" applyBorder="1" applyAlignment="1">
      <alignment horizontal="center" vertical="center" wrapText="1"/>
    </xf>
    <xf numFmtId="0" fontId="1" fillId="3" borderId="33" xfId="0" applyFont="1" applyFill="1" applyBorder="1" applyAlignment="1">
      <alignment horizontal="center" vertical="center" wrapText="1"/>
    </xf>
    <xf numFmtId="164" fontId="1" fillId="3" borderId="47" xfId="0" applyNumberFormat="1" applyFont="1" applyFill="1" applyBorder="1" applyAlignment="1">
      <alignment horizontal="center" vertical="center" wrapText="1"/>
    </xf>
    <xf numFmtId="0" fontId="14" fillId="20" borderId="47" xfId="0" applyFont="1" applyFill="1" applyBorder="1" applyAlignment="1">
      <alignment horizontal="center" vertical="center" wrapText="1"/>
    </xf>
    <xf numFmtId="0" fontId="1" fillId="3" borderId="47" xfId="0" applyFont="1" applyFill="1" applyBorder="1" applyAlignment="1">
      <alignment horizontal="center" vertical="center" wrapText="1"/>
    </xf>
    <xf numFmtId="0" fontId="14" fillId="20" borderId="34" xfId="0" applyFont="1" applyFill="1" applyBorder="1" applyAlignment="1">
      <alignment horizontal="center" vertical="center" wrapText="1"/>
    </xf>
    <xf numFmtId="49" fontId="22" fillId="16" borderId="28" xfId="0" applyNumberFormat="1" applyFont="1" applyFill="1" applyBorder="1" applyAlignment="1">
      <alignment horizontal="center" vertical="center" wrapText="1"/>
    </xf>
    <xf numFmtId="14" fontId="22" fillId="0" borderId="3" xfId="0" applyNumberFormat="1" applyFont="1" applyBorder="1" applyAlignment="1">
      <alignment horizontal="left" vertical="center" wrapText="1"/>
    </xf>
    <xf numFmtId="0" fontId="28" fillId="15" borderId="37" xfId="0" applyFont="1" applyFill="1" applyBorder="1" applyAlignment="1">
      <alignment horizontal="center" vertical="center" wrapText="1"/>
    </xf>
    <xf numFmtId="0" fontId="28" fillId="15" borderId="38" xfId="0" applyFont="1" applyFill="1" applyBorder="1" applyAlignment="1">
      <alignment horizontal="center" vertical="center" wrapText="1"/>
    </xf>
    <xf numFmtId="0" fontId="28" fillId="15" borderId="36" xfId="0" applyFont="1" applyFill="1" applyBorder="1" applyAlignment="1">
      <alignment horizontal="center" vertical="center" wrapText="1"/>
    </xf>
    <xf numFmtId="0" fontId="32" fillId="0" borderId="16" xfId="0" applyFont="1" applyBorder="1" applyAlignment="1">
      <alignment horizontal="center" vertical="center" wrapText="1"/>
    </xf>
    <xf numFmtId="0" fontId="32" fillId="0" borderId="28" xfId="0" applyFont="1" applyBorder="1" applyAlignment="1">
      <alignment horizontal="center" vertical="center" wrapText="1"/>
    </xf>
    <xf numFmtId="14" fontId="33" fillId="20" borderId="3" xfId="0" applyNumberFormat="1" applyFont="1" applyFill="1" applyBorder="1" applyAlignment="1">
      <alignment horizontal="center" vertical="center" wrapText="1"/>
    </xf>
    <xf numFmtId="0" fontId="32" fillId="0" borderId="30" xfId="0" applyFont="1" applyBorder="1" applyAlignment="1">
      <alignment horizontal="center" vertical="center" wrapText="1"/>
    </xf>
    <xf numFmtId="14" fontId="33" fillId="20" borderId="31" xfId="0" applyNumberFormat="1" applyFont="1" applyFill="1" applyBorder="1" applyAlignment="1">
      <alignment horizontal="center" vertical="center" wrapText="1"/>
    </xf>
    <xf numFmtId="14" fontId="33" fillId="20" borderId="32" xfId="0" applyNumberFormat="1" applyFont="1" applyFill="1" applyBorder="1" applyAlignment="1">
      <alignment horizontal="center" vertical="center" wrapText="1"/>
    </xf>
    <xf numFmtId="14" fontId="33" fillId="20" borderId="17" xfId="0" applyNumberFormat="1" applyFont="1" applyFill="1" applyBorder="1" applyAlignment="1">
      <alignment horizontal="center" vertical="center" wrapText="1"/>
    </xf>
    <xf numFmtId="14" fontId="33" fillId="20" borderId="18" xfId="0" applyNumberFormat="1" applyFont="1" applyFill="1" applyBorder="1" applyAlignment="1">
      <alignment horizontal="center" vertical="center" wrapText="1"/>
    </xf>
    <xf numFmtId="14" fontId="33" fillId="20" borderId="29" xfId="0" applyNumberFormat="1" applyFont="1" applyFill="1" applyBorder="1" applyAlignment="1">
      <alignment horizontal="center" vertical="center" wrapText="1"/>
    </xf>
    <xf numFmtId="0" fontId="23" fillId="23" borderId="33" xfId="0" applyFont="1" applyFill="1" applyBorder="1" applyAlignment="1">
      <alignment horizontal="center" vertical="center" wrapText="1"/>
    </xf>
    <xf numFmtId="0" fontId="23" fillId="23" borderId="42" xfId="0" applyFont="1" applyFill="1" applyBorder="1" applyAlignment="1">
      <alignment horizontal="center" vertical="center" wrapText="1"/>
    </xf>
    <xf numFmtId="0" fontId="26" fillId="21" borderId="39" xfId="0" applyFont="1" applyFill="1" applyBorder="1" applyAlignment="1">
      <alignment horizontal="center" vertical="center" wrapText="1"/>
    </xf>
    <xf numFmtId="0" fontId="26" fillId="21" borderId="40" xfId="0" applyFont="1" applyFill="1" applyBorder="1" applyAlignment="1">
      <alignment horizontal="center" vertical="center" wrapText="1"/>
    </xf>
    <xf numFmtId="0" fontId="26" fillId="21" borderId="41" xfId="0" applyFont="1" applyFill="1" applyBorder="1" applyAlignment="1">
      <alignment horizontal="center" vertical="center" wrapText="1"/>
    </xf>
    <xf numFmtId="0" fontId="23" fillId="2" borderId="25" xfId="0" applyFont="1" applyFill="1" applyBorder="1" applyAlignment="1">
      <alignment horizontal="center" vertical="center" wrapText="1"/>
    </xf>
    <xf numFmtId="0" fontId="23" fillId="2" borderId="26" xfId="0" applyFont="1" applyFill="1" applyBorder="1" applyAlignment="1">
      <alignment horizontal="center" vertical="center" wrapText="1"/>
    </xf>
    <xf numFmtId="0" fontId="23" fillId="2" borderId="15" xfId="0" applyFont="1" applyFill="1" applyBorder="1" applyAlignment="1">
      <alignment horizontal="center" vertical="center" wrapText="1"/>
    </xf>
    <xf numFmtId="0" fontId="23" fillId="2" borderId="43" xfId="0" applyFont="1" applyFill="1" applyBorder="1" applyAlignment="1">
      <alignment horizontal="center" vertical="center" wrapText="1"/>
    </xf>
    <xf numFmtId="0" fontId="23" fillId="14" borderId="25" xfId="0" applyFont="1" applyFill="1" applyBorder="1" applyAlignment="1">
      <alignment horizontal="center" wrapText="1"/>
    </xf>
    <xf numFmtId="0" fontId="23" fillId="14" borderId="26" xfId="0" applyFont="1" applyFill="1" applyBorder="1" applyAlignment="1">
      <alignment horizontal="center" wrapText="1"/>
    </xf>
    <xf numFmtId="0" fontId="23" fillId="14" borderId="27" xfId="0" applyFont="1" applyFill="1" applyBorder="1" applyAlignment="1">
      <alignment horizontal="center" wrapText="1"/>
    </xf>
    <xf numFmtId="14" fontId="7" fillId="0" borderId="2" xfId="0" applyNumberFormat="1" applyFont="1" applyBorder="1" applyAlignment="1">
      <alignment horizontal="center" vertical="center"/>
    </xf>
    <xf numFmtId="14" fontId="7" fillId="0" borderId="11" xfId="0" applyNumberFormat="1" applyFont="1" applyBorder="1" applyAlignment="1">
      <alignment horizontal="center" vertical="center"/>
    </xf>
    <xf numFmtId="0" fontId="11" fillId="0" borderId="2" xfId="0" applyFont="1" applyBorder="1" applyAlignment="1">
      <alignment horizontal="center" vertical="center" wrapText="1"/>
    </xf>
    <xf numFmtId="0" fontId="11" fillId="0" borderId="11" xfId="0" applyFont="1" applyBorder="1" applyAlignment="1">
      <alignment horizontal="center" vertical="center" wrapText="1"/>
    </xf>
    <xf numFmtId="0" fontId="5" fillId="2" borderId="0" xfId="0" applyFont="1" applyFill="1" applyAlignment="1">
      <alignment horizontal="center" vertical="center"/>
    </xf>
    <xf numFmtId="14" fontId="7" fillId="0" borderId="7" xfId="0" applyNumberFormat="1" applyFont="1" applyBorder="1" applyAlignment="1">
      <alignment horizontal="center" vertical="center" wrapText="1"/>
    </xf>
    <xf numFmtId="14" fontId="7" fillId="0" borderId="13" xfId="0" applyNumberFormat="1" applyFont="1" applyBorder="1" applyAlignment="1">
      <alignment horizontal="center" vertical="center" wrapText="1"/>
    </xf>
    <xf numFmtId="0" fontId="6" fillId="0" borderId="2" xfId="0" applyFont="1" applyBorder="1" applyAlignment="1">
      <alignment horizontal="center" vertical="center" wrapText="1"/>
    </xf>
    <xf numFmtId="0" fontId="6" fillId="0" borderId="11" xfId="0" applyFont="1" applyBorder="1" applyAlignment="1">
      <alignment horizontal="center" vertical="center" wrapText="1"/>
    </xf>
    <xf numFmtId="0" fontId="6" fillId="6" borderId="2" xfId="0" applyFont="1" applyFill="1" applyBorder="1" applyAlignment="1">
      <alignment horizontal="center" vertical="center" wrapText="1"/>
    </xf>
    <xf numFmtId="0" fontId="6" fillId="6" borderId="11" xfId="0" applyFont="1" applyFill="1" applyBorder="1" applyAlignment="1">
      <alignment horizontal="center" vertical="center" wrapText="1"/>
    </xf>
    <xf numFmtId="0" fontId="7" fillId="0" borderId="2" xfId="0" applyFont="1" applyBorder="1" applyAlignment="1">
      <alignment horizontal="center" vertical="center" wrapText="1"/>
    </xf>
    <xf numFmtId="0" fontId="7" fillId="0" borderId="11" xfId="0" applyFont="1" applyBorder="1" applyAlignment="1">
      <alignment horizontal="center" vertical="center" wrapText="1"/>
    </xf>
    <xf numFmtId="14" fontId="7" fillId="0" borderId="2" xfId="0" applyNumberFormat="1" applyFont="1" applyBorder="1" applyAlignment="1">
      <alignment horizontal="center" vertical="center" wrapText="1"/>
    </xf>
    <xf numFmtId="14" fontId="7" fillId="0" borderId="11" xfId="0" applyNumberFormat="1" applyFont="1" applyBorder="1" applyAlignment="1">
      <alignment horizontal="center" vertical="center" wrapText="1"/>
    </xf>
    <xf numFmtId="0" fontId="6" fillId="0" borderId="5"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7" xfId="0" applyFont="1" applyBorder="1" applyAlignment="1">
      <alignment horizontal="center" vertical="center" wrapText="1"/>
    </xf>
    <xf numFmtId="0" fontId="6" fillId="0" borderId="13" xfId="0" applyFont="1" applyBorder="1" applyAlignment="1">
      <alignment horizontal="center" vertical="center" wrapText="1"/>
    </xf>
    <xf numFmtId="0" fontId="6" fillId="6" borderId="7"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7" fillId="0" borderId="7" xfId="0" applyFont="1" applyBorder="1" applyAlignment="1">
      <alignment horizontal="center" vertical="center" wrapText="1"/>
    </xf>
    <xf numFmtId="0" fontId="7" fillId="0" borderId="13" xfId="0" applyFont="1" applyBorder="1" applyAlignment="1">
      <alignment horizontal="center" vertical="center" wrapText="1"/>
    </xf>
    <xf numFmtId="0" fontId="8" fillId="9" borderId="7" xfId="0" applyFont="1" applyFill="1" applyBorder="1" applyAlignment="1">
      <alignment horizontal="center" vertical="center" wrapText="1"/>
    </xf>
    <xf numFmtId="0" fontId="8" fillId="9" borderId="8" xfId="0" applyFont="1" applyFill="1" applyBorder="1" applyAlignment="1">
      <alignment horizontal="center" vertical="center" wrapText="1"/>
    </xf>
    <xf numFmtId="14" fontId="7" fillId="0" borderId="10" xfId="0" applyNumberFormat="1" applyFont="1" applyBorder="1" applyAlignment="1">
      <alignment horizontal="center" vertical="center" wrapText="1"/>
    </xf>
    <xf numFmtId="14" fontId="7" fillId="0" borderId="8" xfId="0" applyNumberFormat="1" applyFont="1" applyBorder="1" applyAlignment="1">
      <alignment horizontal="center"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6" fillId="0" borderId="8" xfId="0" applyFont="1" applyBorder="1" applyAlignment="1">
      <alignment horizontal="center" vertical="center" wrapText="1"/>
    </xf>
    <xf numFmtId="0" fontId="6" fillId="6" borderId="8" xfId="0" applyFont="1" applyFill="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left" vertical="center" wrapText="1"/>
    </xf>
    <xf numFmtId="0" fontId="6" fillId="0" borderId="10" xfId="0" applyFont="1" applyBorder="1" applyAlignment="1">
      <alignment horizontal="center" vertical="center" wrapText="1"/>
    </xf>
    <xf numFmtId="0" fontId="6" fillId="6" borderId="10" xfId="0" applyFont="1" applyFill="1" applyBorder="1" applyAlignment="1">
      <alignment horizontal="center" vertical="center" wrapText="1"/>
    </xf>
    <xf numFmtId="0" fontId="7" fillId="0" borderId="10" xfId="0" applyFont="1" applyBorder="1" applyAlignment="1">
      <alignment horizontal="center" vertical="center" wrapText="1"/>
    </xf>
    <xf numFmtId="0" fontId="6" fillId="8" borderId="7" xfId="0" applyFont="1" applyFill="1" applyBorder="1" applyAlignment="1">
      <alignment horizontal="center" vertical="center" wrapText="1"/>
    </xf>
    <xf numFmtId="0" fontId="6" fillId="8" borderId="8" xfId="0" applyFont="1" applyFill="1" applyBorder="1" applyAlignment="1">
      <alignment horizontal="center" vertical="center" wrapText="1"/>
    </xf>
    <xf numFmtId="0" fontId="7" fillId="0" borderId="2" xfId="0" applyFont="1" applyBorder="1" applyAlignment="1">
      <alignment vertical="center" wrapText="1"/>
    </xf>
    <xf numFmtId="0" fontId="7" fillId="0" borderId="11" xfId="0" applyFont="1" applyBorder="1" applyAlignment="1">
      <alignmen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14" fontId="6" fillId="0" borderId="7" xfId="0" applyNumberFormat="1" applyFont="1" applyBorder="1" applyAlignment="1">
      <alignment horizontal="center" vertical="center" wrapText="1"/>
    </xf>
    <xf numFmtId="14" fontId="6" fillId="0" borderId="8" xfId="0" applyNumberFormat="1" applyFont="1" applyBorder="1" applyAlignment="1">
      <alignment horizontal="center" vertical="center" wrapText="1"/>
    </xf>
    <xf numFmtId="0" fontId="23" fillId="2" borderId="27" xfId="0" applyFont="1" applyFill="1" applyBorder="1" applyAlignment="1">
      <alignment horizontal="center" vertical="center" wrapText="1"/>
    </xf>
    <xf numFmtId="0" fontId="23" fillId="3" borderId="14" xfId="0" applyFont="1" applyFill="1" applyBorder="1" applyAlignment="1">
      <alignment horizontal="center" vertical="center" wrapText="1"/>
    </xf>
    <xf numFmtId="0" fontId="23" fillId="3" borderId="15" xfId="0" applyFont="1" applyFill="1" applyBorder="1" applyAlignment="1">
      <alignment horizontal="center" vertical="center" wrapText="1"/>
    </xf>
    <xf numFmtId="0" fontId="23" fillId="14" borderId="16" xfId="0" applyFont="1" applyFill="1" applyBorder="1" applyAlignment="1">
      <alignment horizontal="center" vertical="center" wrapText="1"/>
    </xf>
    <xf numFmtId="0" fontId="23" fillId="14" borderId="17" xfId="0" applyFont="1" applyFill="1" applyBorder="1" applyAlignment="1">
      <alignment horizontal="center" vertical="center" wrapText="1"/>
    </xf>
    <xf numFmtId="0" fontId="23" fillId="14" borderId="18" xfId="0" applyFont="1" applyFill="1" applyBorder="1" applyAlignment="1">
      <alignment horizontal="center" vertical="center" wrapText="1"/>
    </xf>
    <xf numFmtId="0" fontId="24" fillId="17" borderId="19" xfId="0" applyFont="1" applyFill="1" applyBorder="1" applyAlignment="1">
      <alignment horizontal="center" vertical="center" wrapText="1"/>
    </xf>
    <xf numFmtId="0" fontId="24" fillId="17" borderId="20" xfId="0" applyFont="1" applyFill="1" applyBorder="1" applyAlignment="1">
      <alignment horizontal="center" vertical="center" wrapText="1"/>
    </xf>
  </cellXfs>
  <cellStyles count="2">
    <cellStyle name="Hipervínculo" xfId="1" builtinId="8"/>
    <cellStyle name="Normal" xfId="0" builtinId="0"/>
  </cellStyles>
  <dxfs count="24">
    <dxf>
      <font>
        <b/>
        <i val="0"/>
      </font>
      <fill>
        <patternFill>
          <bgColor theme="9" tint="0.79998168889431442"/>
        </patternFill>
      </fill>
    </dxf>
    <dxf>
      <fill>
        <patternFill>
          <bgColor theme="5" tint="0.79998168889431442"/>
        </patternFill>
      </fill>
    </dxf>
    <dxf>
      <font>
        <color theme="1"/>
      </font>
      <fill>
        <patternFill patternType="none">
          <bgColor auto="1"/>
        </patternFill>
      </fill>
    </dxf>
    <dxf>
      <font>
        <b/>
        <i val="0"/>
        <color theme="0"/>
      </font>
      <fill>
        <patternFill>
          <bgColor rgb="FFC00000"/>
        </patternFill>
      </fill>
    </dxf>
    <dxf>
      <font>
        <b/>
        <i val="0"/>
        <color theme="1"/>
      </font>
      <fill>
        <patternFill>
          <bgColor theme="9" tint="0.79998168889431442"/>
        </patternFill>
      </fill>
    </dxf>
    <dxf>
      <fill>
        <patternFill>
          <bgColor theme="5" tint="0.79998168889431442"/>
        </patternFill>
      </fill>
    </dxf>
    <dxf>
      <font>
        <b/>
        <i val="0"/>
        <color theme="0"/>
      </font>
      <fill>
        <patternFill>
          <bgColor rgb="FFC00000"/>
        </patternFill>
      </fill>
    </dxf>
    <dxf>
      <font>
        <color theme="1"/>
      </font>
      <fill>
        <patternFill patternType="none">
          <bgColor auto="1"/>
        </patternFill>
      </fill>
    </dxf>
    <dxf>
      <font>
        <b/>
        <i val="0"/>
      </font>
      <fill>
        <patternFill>
          <bgColor rgb="FFFFC000"/>
        </patternFill>
      </fill>
    </dxf>
    <dxf>
      <fill>
        <patternFill patternType="none">
          <bgColor auto="1"/>
        </patternFill>
      </fill>
    </dxf>
    <dxf>
      <font>
        <color rgb="FF9C0006"/>
      </font>
      <fill>
        <patternFill>
          <bgColor rgb="FFFFC7CE"/>
        </patternFill>
      </fill>
    </dxf>
    <dxf>
      <font>
        <b/>
        <i val="0"/>
      </font>
      <fill>
        <patternFill>
          <bgColor rgb="FFFFC000"/>
        </patternFill>
      </fill>
    </dxf>
    <dxf>
      <fill>
        <patternFill patternType="none">
          <bgColor auto="1"/>
        </patternFill>
      </fill>
    </dxf>
    <dxf>
      <font>
        <color rgb="FF9C0006"/>
      </font>
      <fill>
        <patternFill>
          <bgColor rgb="FFFFC7CE"/>
        </patternFill>
      </fill>
    </dxf>
    <dxf>
      <font>
        <b/>
        <i val="0"/>
        <color theme="1"/>
      </font>
      <fill>
        <patternFill>
          <bgColor theme="9" tint="0.79998168889431442"/>
        </patternFill>
      </fill>
    </dxf>
    <dxf>
      <fill>
        <patternFill>
          <bgColor theme="5" tint="0.79998168889431442"/>
        </patternFill>
      </fill>
    </dxf>
    <dxf>
      <font>
        <b/>
        <i val="0"/>
        <color theme="0"/>
      </font>
      <fill>
        <patternFill>
          <bgColor rgb="FFC00000"/>
        </patternFill>
      </fill>
    </dxf>
    <dxf>
      <font>
        <color theme="1"/>
      </font>
      <fill>
        <patternFill patternType="none">
          <bgColor auto="1"/>
        </patternFill>
      </fill>
    </dxf>
    <dxf>
      <font>
        <b/>
        <i val="0"/>
      </font>
      <fill>
        <patternFill>
          <bgColor theme="5" tint="-0.24994659260841701"/>
        </patternFill>
      </fill>
    </dxf>
    <dxf>
      <font>
        <b/>
        <i val="0"/>
      </font>
      <fill>
        <patternFill>
          <bgColor rgb="FFFFC000"/>
        </patternFill>
      </fill>
    </dxf>
    <dxf>
      <fill>
        <patternFill patternType="none">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B7B6D"/>
      <color rgb="FF99CCFF"/>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mefgobpe1.sharepoint.com/:f:/t/DireccindelaOficinadeInfraestructuraTecnolgica/IgA5gBlY8VItRq97esaRWn-MAcTFFz3f8TojpHvQYGpQOXE?e=djA0vM" TargetMode="External"/><Relationship Id="rId117" Type="http://schemas.openxmlformats.org/officeDocument/2006/relationships/comments" Target="../comments1.xml"/><Relationship Id="rId21" Type="http://schemas.openxmlformats.org/officeDocument/2006/relationships/hyperlink" Target="https://mefgobpe1.sharepoint.com/:f:/t/DireccindelaOficinadeInfraestructuraTecnolgica/IgDky8i02ETlQK-qjRtzCLJNAY7eP5CRffdnZDdkunAdmLo?e=H75nC0" TargetMode="External"/><Relationship Id="rId42" Type="http://schemas.openxmlformats.org/officeDocument/2006/relationships/hyperlink" Target="https://mefgobpe1.sharepoint.com/:f:/t/DireccindelaOficinadeInfraestructuraTecnolgica/IgBKbKB4mdN1SbnHlk94zmKFAWpR_Tc_rBU2iTcW91S3K-c?e=TEIgtQ" TargetMode="External"/><Relationship Id="rId47" Type="http://schemas.openxmlformats.org/officeDocument/2006/relationships/hyperlink" Target="https://mefgobpe1.sharepoint.com/:f:/t/DireccindelaOficinadeInfraestructuraTecnolgica/IgAyYKR9Rz3GTqRhpARK_UGzAaAiC3mq1StM2p9W0NbDjMI?e=rVekIq" TargetMode="External"/><Relationship Id="rId63" Type="http://schemas.openxmlformats.org/officeDocument/2006/relationships/hyperlink" Target="https://mefgobpe1.sharepoint.com/:f:/t/DireccindelaOficinadeInfraestructuraTecnolgica/IgBcfKaQe5wET66chWXXDkXQAfpJxinlTvEBOEqBY1P8uhs?e=mddoCs" TargetMode="External"/><Relationship Id="rId68" Type="http://schemas.openxmlformats.org/officeDocument/2006/relationships/hyperlink" Target="https://mefgobpe1.sharepoint.com/:f:/t/DireccindelaOficinadeInfraestructuraTecnolgica/IgCZfdoRJQEjTZA8j_BahpN3AUpN14mf8I4NGsL7vUXEjEA?e=CMsvIN" TargetMode="External"/><Relationship Id="rId84" Type="http://schemas.openxmlformats.org/officeDocument/2006/relationships/hyperlink" Target="https://mefgobpe1.sharepoint.com/:f:/t/DireccindelaOficinadeInfraestructuraTecnolgica/IgBZgshq_n29RoqAJYL1_73XAXcueZwaCZSeqh9b2SqkoYU?e=2bsdCd" TargetMode="External"/><Relationship Id="rId89" Type="http://schemas.openxmlformats.org/officeDocument/2006/relationships/hyperlink" Target="https://mefgobpe1.sharepoint.com/:f:/t/DireccindelaOficinadeInfraestructuraTecnolgica/IgD_FkO9vp8WR7985Bq57Ax7AZjlbF95iucemH4-rKEMj04?e=1FIRyW" TargetMode="External"/><Relationship Id="rId112" Type="http://schemas.openxmlformats.org/officeDocument/2006/relationships/hyperlink" Target="https://mefgobpe1.sharepoint.com/:f:/t/DireccindelaOficinadeInfraestructuraTecnolgica/IgBTiE_VajuqRY7YebtztiSjAZtKl_qUsoL5FZ-am9YMzAY?e=K4R8YZ" TargetMode="External"/><Relationship Id="rId16" Type="http://schemas.openxmlformats.org/officeDocument/2006/relationships/hyperlink" Target="https://mefgobpe1.sharepoint.com/:f:/t/DireccindelaOficinadeInfraestructuraTecnolgica/IgA_ThXieabKQYWhIq9N88JYAUdCaTsOhspNLFXZ1xVx_XQ?e=6VmMxh" TargetMode="External"/><Relationship Id="rId107" Type="http://schemas.openxmlformats.org/officeDocument/2006/relationships/hyperlink" Target="https://mefgobpe1.sharepoint.com/:f:/t/DireccindelaOficinadeInfraestructuraTecnolgica/IgBqwkQZmz5PTZ_O2MGnbRb0AY3fiSJ1iOnSbb5FiZ6YBzw?e=hVme0h" TargetMode="External"/><Relationship Id="rId11" Type="http://schemas.openxmlformats.org/officeDocument/2006/relationships/hyperlink" Target="https://mefgobpe1.sharepoint.com/:f:/t/DireccindelaOficinadeInfraestructuraTecnolgica/IgA5G0WmVxohTqP5MQbMskHSAWM6M_Nigc_QT61A2izummk?e=2mwTcX" TargetMode="External"/><Relationship Id="rId32" Type="http://schemas.openxmlformats.org/officeDocument/2006/relationships/hyperlink" Target="https://mefgobpe1.sharepoint.com/:f:/t/DireccindelaOficinadeInfraestructuraTecnolgica/IgByz6DfXvV6SaiSj3QDxmGgAbuEEZLO-att1RGPIFhijJY?e=fhYV1S" TargetMode="External"/><Relationship Id="rId37" Type="http://schemas.openxmlformats.org/officeDocument/2006/relationships/hyperlink" Target="https://mefgobpe1.sharepoint.com/:f:/t/DireccindelaOficinadeInfraestructuraTecnolgica/IgA0R5MMthTbQLxbmjQ4a9jDATdvi_mCfsIDW4JFeRnA_r0?e=gtG8Ku" TargetMode="External"/><Relationship Id="rId53" Type="http://schemas.openxmlformats.org/officeDocument/2006/relationships/hyperlink" Target="https://mefgobpe1.sharepoint.com/:f:/t/DireccindelaOficinadeInfraestructuraTecnolgica/IgAEewIqEfzdT7p2uxd-rSgwAam28LF-LGdBOGV8EOP4pMc?e=vDKb8S" TargetMode="External"/><Relationship Id="rId58" Type="http://schemas.openxmlformats.org/officeDocument/2006/relationships/hyperlink" Target="https://mefgobpe1.sharepoint.com/:f:/t/DireccindelaOficinadeInfraestructuraTecnolgica/IgCISC5P3434QL2cRUmiD_NWAenWseAb4gJ_7QE8s7hDNeo?e=1bwG3P" TargetMode="External"/><Relationship Id="rId74" Type="http://schemas.openxmlformats.org/officeDocument/2006/relationships/hyperlink" Target="https://mefgobpe1.sharepoint.com/:f:/t/DireccindelaOficinadeInfraestructuraTecnolgica/IgA0Cynp2Az3TbWnKVf71hZkAYNkX8WGY040DyPcF0wALZk?e=a4xHjb" TargetMode="External"/><Relationship Id="rId79" Type="http://schemas.openxmlformats.org/officeDocument/2006/relationships/hyperlink" Target="https://mefgobpe1.sharepoint.com/:f:/t/DireccindelaOficinadeInfraestructuraTecnolgica/IgDZkVbElnHcS51GNyAeImDAAbjD1h-ajdDgwmECx0cOt8s?e=9MpV9x" TargetMode="External"/><Relationship Id="rId102" Type="http://schemas.openxmlformats.org/officeDocument/2006/relationships/hyperlink" Target="https://mefgobpe1.sharepoint.com/:f:/t/DireccindelaOficinadeInfraestructuraTecnolgica/IgADMfQBji3ZRoNBwae1yQOVATkypQlAHNZe88TvOOQoSGg?e=zgiIMb" TargetMode="External"/><Relationship Id="rId5" Type="http://schemas.openxmlformats.org/officeDocument/2006/relationships/hyperlink" Target="https://mefgobpe1.sharepoint.com/:f:/t/DireccindelaOficinadeInfraestructuraTecnolgica/IgAuQUOZDJlsS52DtyJNBD8aAQ9zOl_Ud_ejgD_u3ufWXIQ?e=YafDUj" TargetMode="External"/><Relationship Id="rId90" Type="http://schemas.openxmlformats.org/officeDocument/2006/relationships/hyperlink" Target="https://mefgobpe1.sharepoint.com/:f:/t/DireccindelaOficinadeInfraestructuraTecnolgica/IgAJrAOcXdO-TJUtLpJ93mAQAZfLdKTI3d2WHCnuujc9_p8?e=pn035m" TargetMode="External"/><Relationship Id="rId95" Type="http://schemas.openxmlformats.org/officeDocument/2006/relationships/hyperlink" Target="https://mefgobpe1.sharepoint.com/:f:/t/DireccindelaOficinadeInfraestructuraTecnolgica/IgBx6t6xPAKyR52iNT3E9_ytAfgfbZ5lQlAHRmNAw6r_ymk?e=IhZJZK" TargetMode="External"/><Relationship Id="rId22" Type="http://schemas.openxmlformats.org/officeDocument/2006/relationships/hyperlink" Target="https://mefgobpe1.sharepoint.com/:f:/t/DireccindelaOficinadeInfraestructuraTecnolgica/IgARkGxBhBLuTIDw-AnIkVpjAQdVJ4Q7KQrpsR9OBEzSV3E?e=hICdmD" TargetMode="External"/><Relationship Id="rId27" Type="http://schemas.openxmlformats.org/officeDocument/2006/relationships/hyperlink" Target="https://mefgobpe1.sharepoint.com/:f:/t/DireccindelaOficinadeInfraestructuraTecnolgica/IgBa6v7XUA2jT6nfQhjbJIQhAdGoEhfA_JT7N7P07K2kCj8?e=jm37EK" TargetMode="External"/><Relationship Id="rId43" Type="http://schemas.openxmlformats.org/officeDocument/2006/relationships/hyperlink" Target="https://mefgobpe1.sharepoint.com/:f:/t/DireccindelaOficinadeInfraestructuraTecnolgica/IgAc7H8GoPbfTr8WCDZnFkZnAaacb9TajeH91vfdbrGth4g?e=zAuHF0" TargetMode="External"/><Relationship Id="rId48" Type="http://schemas.openxmlformats.org/officeDocument/2006/relationships/hyperlink" Target="https://mefgobpe1.sharepoint.com/:f:/t/DireccindelaOficinadeInfraestructuraTecnolgica/IgDYbygM1TKCTaKjM2TxGG1GAUtmVpnsR3k6dcpXEvhYdUY?e=lsBvaX" TargetMode="External"/><Relationship Id="rId64" Type="http://schemas.openxmlformats.org/officeDocument/2006/relationships/hyperlink" Target="https://mefgobpe1.sharepoint.com/:f:/t/DireccindelaOficinadeInfraestructuraTecnolgica/IgBR4lvj-uB6S7Y0W925_VQ1AaYFbVA7f4ZgU2Iu9i5IpjM?e=2X5gHQ" TargetMode="External"/><Relationship Id="rId69" Type="http://schemas.openxmlformats.org/officeDocument/2006/relationships/hyperlink" Target="https://mefgobpe1.sharepoint.com/:f:/t/DireccindelaOficinadeInfraestructuraTecnolgica/IgALnri0K4bkQIf3VpYYQelYAVTnNZocbq87l6yffcx2SkA?e=hetzlk" TargetMode="External"/><Relationship Id="rId113" Type="http://schemas.openxmlformats.org/officeDocument/2006/relationships/hyperlink" Target="https://mefgobpe1.sharepoint.com/:f:/t/DireccindelaOficinadeInfraestructuraTecnolgica/IgBKbKB4mdN1SbnHlk94zmKFAWpR_Tc_rBU2iTcW91S3K-c?e=Fwifh1" TargetMode="External"/><Relationship Id="rId80" Type="http://schemas.openxmlformats.org/officeDocument/2006/relationships/hyperlink" Target="https://mefgobpe1.sharepoint.com/:f:/t/DireccindelaOficinadeInfraestructuraTecnolgica/IgDOGmIsTdcQR7WRurTBYvynARYfq5gEIhBfSrmIgGJX8gg?e=2IW6HR" TargetMode="External"/><Relationship Id="rId85" Type="http://schemas.openxmlformats.org/officeDocument/2006/relationships/hyperlink" Target="https://mefgobpe1.sharepoint.com/:f:/t/DireccindelaOficinadeInfraestructuraTecnolgica/IgDPgnDFtg89TrLxABhdVe08AUgsLoj92ghtBOiluaUWTcw?e=5LVSpt" TargetMode="External"/><Relationship Id="rId12" Type="http://schemas.openxmlformats.org/officeDocument/2006/relationships/hyperlink" Target="https://mefgobpe1.sharepoint.com/:f:/t/DireccindelaOficinadeInfraestructuraTecnolgica/IgBFT23nqG9zQ7rbTFVcZ7QxAYluJ9F4NfR0qxfKpTAXlgY?e=nMW8TE" TargetMode="External"/><Relationship Id="rId17" Type="http://schemas.openxmlformats.org/officeDocument/2006/relationships/hyperlink" Target="https://mefgobpe1.sharepoint.com/:f:/t/DireccindelaOficinadeInfraestructuraTecnolgica/IgAJ7qpoO04-RKLsaYI_TPCaAVnLB3BfeTI4TPceZmZC55c?e=sVYOpK" TargetMode="External"/><Relationship Id="rId33" Type="http://schemas.openxmlformats.org/officeDocument/2006/relationships/hyperlink" Target="https://mefgobpe1.sharepoint.com/:f:/t/DireccindelaOficinadeInfraestructuraTecnolgica/IgBnvm7wfHfYTa7oXSw1DWjXAUKkhZUZyDEbdETPv5R5BMk?e=8vTbdb" TargetMode="External"/><Relationship Id="rId38" Type="http://schemas.openxmlformats.org/officeDocument/2006/relationships/hyperlink" Target="https://mefgobpe1.sharepoint.com/:f:/t/DireccindelaOficinadeInfraestructuraTecnolgica/IgCnzxNk-eJ5SYfMig5joajHATNiVaCYfk9WMvuLvUi8HX8?e=PZJj3r" TargetMode="External"/><Relationship Id="rId59" Type="http://schemas.openxmlformats.org/officeDocument/2006/relationships/hyperlink" Target="https://mefgobpe1.sharepoint.com/:f:/t/DireccindelaOficinadeInfraestructuraTecnolgica/IgARXzrnIH60T50VMCHG14aIAcThDyGkT2wZE686IqHqDAk?e=vGr0AS" TargetMode="External"/><Relationship Id="rId103" Type="http://schemas.openxmlformats.org/officeDocument/2006/relationships/hyperlink" Target="https://mefgobpe1.sharepoint.com/:f:/t/DireccindelaOficinadeInfraestructuraTecnolgica/IgDdrbM4UyIgQ4OlzQk5tFIUAapr-JrjMsmNof5z4Viz2Ds?e=rf3HNW" TargetMode="External"/><Relationship Id="rId108" Type="http://schemas.openxmlformats.org/officeDocument/2006/relationships/hyperlink" Target="https://mefgobpe1.sharepoint.com/:f:/t/DireccindelaOficinadeInfraestructuraTecnolgica/IgByodgHzVSKSbhEmahiwa2sAcmZDzN95lq2Bm6utsL6EHQ?e=xbDT8c" TargetMode="External"/><Relationship Id="rId54" Type="http://schemas.openxmlformats.org/officeDocument/2006/relationships/hyperlink" Target="https://mefgobpe1.sharepoint.com/:f:/t/DireccindelaOficinadeInfraestructuraTecnolgica/IgATPnWtIVx9TYyaUbZxoGNrAShB4oFjXi_wDLFKkfM7rvk?e=8wdEbS" TargetMode="External"/><Relationship Id="rId70" Type="http://schemas.openxmlformats.org/officeDocument/2006/relationships/hyperlink" Target="https://mefgobpe1.sharepoint.com/:f:/t/DireccindelaOficinadeInfraestructuraTecnolgica/IgDop4EtC8mqSYFLAcKhpXMYAdsWAcGnWU29Igcxrklqphw?e=xKAPMy" TargetMode="External"/><Relationship Id="rId75" Type="http://schemas.openxmlformats.org/officeDocument/2006/relationships/hyperlink" Target="https://mefgobpe1.sharepoint.com/:f:/t/DireccindelaOficinadeInfraestructuraTecnolgica/IgBzNkMirCsYRa-j3rBPp15BAUFkZK3K6KZkJkRvYcfn3QQ?e=aw9AFB" TargetMode="External"/><Relationship Id="rId91" Type="http://schemas.openxmlformats.org/officeDocument/2006/relationships/hyperlink" Target="https://mefgobpe1.sharepoint.com/:f:/t/DireccindelaOficinadeInfraestructuraTecnolgica/IgDPIeZpngTUTKUuwYrE5RofAWBQ7U9MrgpmZgk5lMMcC18?e=oCdvhN" TargetMode="External"/><Relationship Id="rId96" Type="http://schemas.openxmlformats.org/officeDocument/2006/relationships/hyperlink" Target="https://mefgobpe1.sharepoint.com/:f:/t/DireccindelaOficinadeInfraestructuraTecnolgica/IgCeDX3vvkIKQol_H21Pls4IAQuqN3ccEDM_GIJLkJ3ngrE?e=Kl7uUR" TargetMode="External"/><Relationship Id="rId1" Type="http://schemas.openxmlformats.org/officeDocument/2006/relationships/hyperlink" Target="https://mefgobpe1.sharepoint.com/:f:/t/DireccindelaOficinadeInfraestructuraTecnolgica/IgAMjzQ2CwrsSrZrpbNNuH6TAexSvIZkaygR0PcCrH9EkUg?e=bpppHT" TargetMode="External"/><Relationship Id="rId6" Type="http://schemas.openxmlformats.org/officeDocument/2006/relationships/hyperlink" Target="https://mefgobpe1.sharepoint.com/:f:/t/DireccindelaOficinadeInfraestructuraTecnolgica/IgA4J9G8lX8jTL50cb-xPfgVAYuuw3a9sQa6941P4nOdfms?e=DE2hgt" TargetMode="External"/><Relationship Id="rId23" Type="http://schemas.openxmlformats.org/officeDocument/2006/relationships/hyperlink" Target="https://mefgobpe1.sharepoint.com/:f:/t/DireccindelaOficinadeInfraestructuraTecnolgica/IgDoXKLz4NE9Tqyf56JnMjHPAcHoSL-YGFCuyQgQ-wd8rb8?e=ZAiGSf" TargetMode="External"/><Relationship Id="rId28" Type="http://schemas.openxmlformats.org/officeDocument/2006/relationships/hyperlink" Target="https://mefgobpe1.sharepoint.com/:f:/t/DireccindelaOficinadeInfraestructuraTecnolgica/IgBa6v7XUA2jT6nfQhjbJIQhAdGoEhfA_JT7N7P07K2kCj8?e=jm37EK" TargetMode="External"/><Relationship Id="rId49" Type="http://schemas.openxmlformats.org/officeDocument/2006/relationships/hyperlink" Target="https://mefgobpe1.sharepoint.com/:f:/t/DireccindelaOficinadeInfraestructuraTecnolgica/IgAfm3sUuE2QSrQPsgMB-VRcAWR5KZowvjZjVPZ4sAyd1yw?e=c931SK" TargetMode="External"/><Relationship Id="rId114" Type="http://schemas.openxmlformats.org/officeDocument/2006/relationships/hyperlink" Target="https://mefgobpe1.sharepoint.com/:f:/t/DireccindelaOficinadeInfraestructuraTecnolgica/IgA5-0vHLWEmT4Z3IG1lrtl7AYwnXDPyPvY7J6TbTIzL31E?e=t1W2bI" TargetMode="External"/><Relationship Id="rId10" Type="http://schemas.openxmlformats.org/officeDocument/2006/relationships/hyperlink" Target="https://mefgobpe1.sharepoint.com/:f:/t/DireccindelaOficinadeInfraestructuraTecnolgica/IgC1sKmCnD2OR6nwjjoR-5QzAWuoyeFD46P5CnRUqQofQSM?e=fKqH5P" TargetMode="External"/><Relationship Id="rId31" Type="http://schemas.openxmlformats.org/officeDocument/2006/relationships/hyperlink" Target="https://mefgobpe1.sharepoint.com/:f:/t/DireccindelaOficinadeInfraestructuraTecnolgica/IgD0BRP6axX4RZWju57kPBYLAfg195MIEez6fBiAsKEFHQ0?e=9E2aRp" TargetMode="External"/><Relationship Id="rId44" Type="http://schemas.openxmlformats.org/officeDocument/2006/relationships/hyperlink" Target="https://mefgobpe1.sharepoint.com/:f:/t/DireccindelaOficinadeInfraestructuraTecnolgica/IgAsBDCJ9xclRbhEFK5UxzHqATql7VV08pXZIbXrDfZyuAk?e=efmGad" TargetMode="External"/><Relationship Id="rId52" Type="http://schemas.openxmlformats.org/officeDocument/2006/relationships/hyperlink" Target="https://mefgobpe1.sharepoint.com/:f:/t/DireccindelaOficinadeInfraestructuraTecnolgica/IgBtK6uPW3S7SZhwksSHI3nJAdWej7VDdzuGOMEHsdLr9CA?e=fCIs7m" TargetMode="External"/><Relationship Id="rId60" Type="http://schemas.openxmlformats.org/officeDocument/2006/relationships/hyperlink" Target="https://mefgobpe1.sharepoint.com/:f:/t/DireccindelaOficinadeInfraestructuraTecnolgica/IgDtya5wjZvOQrpwSRq7ahDIAaLQooeG3qKCmqho78GFs2o?e=qsBxDo" TargetMode="External"/><Relationship Id="rId65" Type="http://schemas.openxmlformats.org/officeDocument/2006/relationships/hyperlink" Target="https://mefgobpe1.sharepoint.com/:f:/t/DireccindelaOficinadeInfraestructuraTecnolgica/IgBNFoeESGWkSpYPorps2a4YAWBoil3bcT0gNKU7-Whv00A?e=zKkBeZ" TargetMode="External"/><Relationship Id="rId73" Type="http://schemas.openxmlformats.org/officeDocument/2006/relationships/hyperlink" Target="https://mefgobpe1.sharepoint.com/:f:/t/DireccindelaOficinadeInfraestructuraTecnolgica/IgCzqnpWYXwQRoTRJy4Ukaz-Aft5ctBNoB3Tm9DuplAl7P0?e=TbLOBC" TargetMode="External"/><Relationship Id="rId78" Type="http://schemas.openxmlformats.org/officeDocument/2006/relationships/hyperlink" Target="https://mefgobpe1.sharepoint.com/:f:/t/DireccindelaOficinadeInfraestructuraTecnolgica/IgD132fZPAtcRK9h9lcQQ_zgATY9Drjjyz7H5GmAJ7nKDDA?e=ose1XU" TargetMode="External"/><Relationship Id="rId81" Type="http://schemas.openxmlformats.org/officeDocument/2006/relationships/hyperlink" Target="https://mefgobpe1.sharepoint.com/:f:/t/DireccindelaOficinadeInfraestructuraTecnolgica/IgCel-yjCirvTYHooBtP0F9fAdQIDmkvs38OKt306jpUPDc?e=yLl35W" TargetMode="External"/><Relationship Id="rId86" Type="http://schemas.openxmlformats.org/officeDocument/2006/relationships/hyperlink" Target="https://mefgobpe1.sharepoint.com/:f:/t/DireccindelaOficinadeInfraestructuraTecnolgica/IgA1TPsezJR0QLTmVkLQMrhqAeNqHHJBPOeROw52L6rxp6k?e=H5dWbl" TargetMode="External"/><Relationship Id="rId94" Type="http://schemas.openxmlformats.org/officeDocument/2006/relationships/hyperlink" Target="https://mefgobpe1.sharepoint.com/:f:/t/DireccindelaOficinadeInfraestructuraTecnolgica/IgDKRKOnBdbCRbGLY1y59HVxAVtyX-DKcropgp8rUK7fA50?e=Qzsz8w" TargetMode="External"/><Relationship Id="rId99" Type="http://schemas.openxmlformats.org/officeDocument/2006/relationships/hyperlink" Target="https://mefgobpe1.sharepoint.com/:f:/t/DireccindelaOficinadeInfraestructuraTecnolgica/IgCt-siFeLToTLzGCtj6jtWKAeNORumychcecZtgE_UktG0?e=dyfa1X" TargetMode="External"/><Relationship Id="rId101" Type="http://schemas.openxmlformats.org/officeDocument/2006/relationships/hyperlink" Target="https://mefgobpe1.sharepoint.com/:f:/t/DireccindelaOficinadeInfraestructuraTecnolgica/IgCbfvqsTUV0RYsbDEU86lfOAQ6-wbAefQwhkvjbVDyohUg?e=gIZDk9" TargetMode="External"/><Relationship Id="rId4" Type="http://schemas.openxmlformats.org/officeDocument/2006/relationships/hyperlink" Target="https://mefgobpe1.sharepoint.com/:f:/t/DireccindelaOficinadeInfraestructuraTecnolgica/IgDhJgwKBPIITJaNuzbU7fwMAWJyPbtURdvydZOXH0YHWGA?e=5X4nby" TargetMode="External"/><Relationship Id="rId9" Type="http://schemas.openxmlformats.org/officeDocument/2006/relationships/hyperlink" Target="https://mefgobpe1.sharepoint.com/:f:/t/DireccindelaOficinadeInfraestructuraTecnolgica/IgDtI1itSj1MRIe9w_PuV_8qAWxI3nhcWFemRLD2qjgXkco?e=DCylEI" TargetMode="External"/><Relationship Id="rId13" Type="http://schemas.openxmlformats.org/officeDocument/2006/relationships/hyperlink" Target="https://mefgobpe1.sharepoint.com/:f:/t/DireccindelaOficinadeInfraestructuraTecnolgica/IgBggS-oH5JqTr_6GWypG4b4ATKxqfyCVeq7C0aBSIKTF4c?e=LBGJEY" TargetMode="External"/><Relationship Id="rId18" Type="http://schemas.openxmlformats.org/officeDocument/2006/relationships/hyperlink" Target="https://mefgobpe1.sharepoint.com/:f:/t/DireccindelaOficinadeInfraestructuraTecnolgica/IgA9cJfXxPsWSrNqD9HaRbozAaXWixz8fwTopb-CgIW66Dg?e=QYD4wl" TargetMode="External"/><Relationship Id="rId39" Type="http://schemas.openxmlformats.org/officeDocument/2006/relationships/hyperlink" Target="https://mefgobpe1.sharepoint.com/:f:/t/DireccindelaOficinadeInfraestructuraTecnolgica/IgAiRw1f-SK6SL9hZ__gV0JPAZMJCyiR2Op7RyTWw4edO2c?e=Ob19Gs" TargetMode="External"/><Relationship Id="rId109" Type="http://schemas.openxmlformats.org/officeDocument/2006/relationships/hyperlink" Target="https://mefgobpe1.sharepoint.com/:f:/t/DireccindelaOficinadeInfraestructuraTecnolgica/IgBwuAd-2mKBRoxHAENy9EwCAZMSEDNE0R4qtobs2YbtwQY?e=mvQGBN" TargetMode="External"/><Relationship Id="rId34" Type="http://schemas.openxmlformats.org/officeDocument/2006/relationships/hyperlink" Target="https://mefgobpe1.sharepoint.com/:f:/t/DireccindelaOficinadeInfraestructuraTecnolgica/IgDLwoyF5lpGQ5jG9Cn-O4x1Ae70d7frLSLOU3QZ6DDmJjw?e=MkM4RD" TargetMode="External"/><Relationship Id="rId50" Type="http://schemas.openxmlformats.org/officeDocument/2006/relationships/hyperlink" Target="https://mefgobpe1.sharepoint.com/:f:/t/DireccindelaOficinadeInfraestructuraTecnolgica/IgCg747yJeBUTKCdhcPm7-mBAX9LiZoZbY3IE0iFTh64jTg?e=TdPR2U" TargetMode="External"/><Relationship Id="rId55" Type="http://schemas.openxmlformats.org/officeDocument/2006/relationships/hyperlink" Target="https://mefgobpe1.sharepoint.com/:f:/t/DireccindelaOficinadeInfraestructuraTecnolgica/IgDqFzf3p96_TpqhIzJb69WFAcVnyOdZVks59rBK1UIX7ck?e=TVt1xq" TargetMode="External"/><Relationship Id="rId76" Type="http://schemas.openxmlformats.org/officeDocument/2006/relationships/hyperlink" Target="https://mefgobpe1.sharepoint.com/:f:/t/DireccindelaOficinadeInfraestructuraTecnolgica/IgDfr-0C0jZ-QqNhYzXjdwe6AeK112gk7QvBn0E7gKIi2fA?e=VwWibC" TargetMode="External"/><Relationship Id="rId97" Type="http://schemas.openxmlformats.org/officeDocument/2006/relationships/hyperlink" Target="https://mefgobpe1.sharepoint.com/:f:/t/DireccindelaOficinadeInfraestructuraTecnolgica/IgCN7c9CsE0iQKftpVB8YvXUAU1k8KWkZ4Tg-nGcQu0_4i4?e=7jHJpa" TargetMode="External"/><Relationship Id="rId104" Type="http://schemas.openxmlformats.org/officeDocument/2006/relationships/hyperlink" Target="https://mefgobpe1.sharepoint.com/:f:/t/DireccindelaOficinadeInfraestructuraTecnolgica/IgC7b_fep09KTJwXBJjBobs-AW1ZvFIOuuKi86MA5eLGD88?e=hOaW0S" TargetMode="External"/><Relationship Id="rId7" Type="http://schemas.openxmlformats.org/officeDocument/2006/relationships/hyperlink" Target="https://mefgobpe1.sharepoint.com/:f:/t/DireccindelaOficinadeInfraestructuraTecnolgica/IgAdCBapqOqqRJpyEFJ7XwgXAX0rGkLM2DRJnlRRxk9fGTo?e=7jpXkp" TargetMode="External"/><Relationship Id="rId71" Type="http://schemas.openxmlformats.org/officeDocument/2006/relationships/hyperlink" Target="https://mefgobpe1.sharepoint.com/:f:/t/DireccindelaOficinadeInfraestructuraTecnolgica/IgBckAwoLFIfQp2kcwvZTz6NAWHxK0pOrYxyORTneN9mowA?e=ulgaj7" TargetMode="External"/><Relationship Id="rId92" Type="http://schemas.openxmlformats.org/officeDocument/2006/relationships/hyperlink" Target="https://mefgobpe1.sharepoint.com/:f:/t/DireccindelaOficinadeInfraestructuraTecnolgica/IgCHLHxCTHg2S6-TpprKHAglAWwcFNXAtoXWbi07ULrVi5g?e=GoaTNN" TargetMode="External"/><Relationship Id="rId2" Type="http://schemas.openxmlformats.org/officeDocument/2006/relationships/hyperlink" Target="https://mefgobpe1.sharepoint.com/:f:/t/DireccindelaOficinadeInfraestructuraTecnolgica/IgAMjzQ2CwrsSrZrpbNNuH6TAexSvIZkaygR0PcCrH9EkUg?e=bpppHT" TargetMode="External"/><Relationship Id="rId29" Type="http://schemas.openxmlformats.org/officeDocument/2006/relationships/hyperlink" Target="https://mefgobpe1.sharepoint.com/:f:/t/DireccindelaOficinadeInfraestructuraTecnolgica/IgClC0OTToCDT6oGNBM5jfewAeFgWpwpzloVtV_wDB75PUA?e=1HQdlB" TargetMode="External"/><Relationship Id="rId24" Type="http://schemas.openxmlformats.org/officeDocument/2006/relationships/hyperlink" Target="https://mefgobpe1.sharepoint.com/:f:/t/DireccindelaOficinadeInfraestructuraTecnolgica/IgBLxDtaZfKnRrwzowRjwG-_ASZQ5oP-5uso6q0-otUe3aY?e=M1mghK" TargetMode="External"/><Relationship Id="rId40" Type="http://schemas.openxmlformats.org/officeDocument/2006/relationships/hyperlink" Target="https://mefgobpe1.sharepoint.com/:f:/t/DireccindelaOficinadeInfraestructuraTecnolgica/IgBUPSsg35-qQp6tZtqKWwwPAb2SNicKo9peNvNYzi6Jkdo?e=bH0dAj" TargetMode="External"/><Relationship Id="rId45" Type="http://schemas.openxmlformats.org/officeDocument/2006/relationships/hyperlink" Target="https://mefgobpe1.sharepoint.com/:f:/t/DireccindelaOficinadeInfraestructuraTecnolgica/IgD6JLj_wjUgRJ2H1glPSFJGAasqmd1zXLL-AaCy1G5coZw?e=ydeWx0" TargetMode="External"/><Relationship Id="rId66" Type="http://schemas.openxmlformats.org/officeDocument/2006/relationships/hyperlink" Target="https://mefgobpe1.sharepoint.com/:f:/t/DireccindelaOficinadeInfraestructuraTecnolgica/IgCKUOh6eb7WT6u4yXs-FljeAUz_cQAYKops0YotIrBgd48?e=dw6Xxx" TargetMode="External"/><Relationship Id="rId87" Type="http://schemas.openxmlformats.org/officeDocument/2006/relationships/hyperlink" Target="https://mefgobpe1.sharepoint.com/:f:/t/DireccindelaOficinadeInfraestructuraTecnolgica/IgDeC6vNIBUpSqbiTFJ8zxRtAQ9USEKybl6KXV9iuaHVsyY?e=WK3wS9" TargetMode="External"/><Relationship Id="rId110" Type="http://schemas.openxmlformats.org/officeDocument/2006/relationships/hyperlink" Target="https://mefgobpe1.sharepoint.com/:f:/t/DireccindelaOficinadeInfraestructuraTecnolgica/IgCLXuEiBQvASIm3azsmDIDnAeBV0vvs1O2QAigM25u3mpA?e=X4ETXq" TargetMode="External"/><Relationship Id="rId115" Type="http://schemas.openxmlformats.org/officeDocument/2006/relationships/printerSettings" Target="../printerSettings/printerSettings1.bin"/><Relationship Id="rId61" Type="http://schemas.openxmlformats.org/officeDocument/2006/relationships/hyperlink" Target="https://mefgobpe1.sharepoint.com/:f:/t/DireccindelaOficinadeInfraestructuraTecnolgica/IgCgcRC8W-wMTq6ekZb_lSpLAeDJFqC-bcRW_kCo81Z8vlQ?e=JwNwPp" TargetMode="External"/><Relationship Id="rId82" Type="http://schemas.openxmlformats.org/officeDocument/2006/relationships/hyperlink" Target="https://mefgobpe1.sharepoint.com/:f:/t/DireccindelaOficinadeInfraestructuraTecnolgica/IgAG9kWY4c3DQZfBV8lKBvVWAfb8oT8nCJDO5eTK5l2xdIQ?e=h9OLf9" TargetMode="External"/><Relationship Id="rId19" Type="http://schemas.openxmlformats.org/officeDocument/2006/relationships/hyperlink" Target="https://mefgobpe1.sharepoint.com/:f:/t/DireccindelaOficinadeInfraestructuraTecnolgica/IgC5keBoO6yUTY2pp9YKreusASg9cM4_iBsOqn5zrKc9kHA?e=wC8brs" TargetMode="External"/><Relationship Id="rId14" Type="http://schemas.openxmlformats.org/officeDocument/2006/relationships/hyperlink" Target="https://mefgobpe1.sharepoint.com/:f:/t/DireccindelaOficinadeInfraestructuraTecnolgica/IgAhsups6_SGQojMLYgdHk-0AXwoAEv3n-GpPgZzS4F96cQ?e=SUEvKN" TargetMode="External"/><Relationship Id="rId30" Type="http://schemas.openxmlformats.org/officeDocument/2006/relationships/hyperlink" Target="https://mefgobpe1.sharepoint.com/:f:/t/DireccindelaOficinadeInfraestructuraTecnolgica/IgA90WhNiS2ISL-dyIhAIXhKAWgrgtxNRaQbDF3PoJd1trE?e=0SUbeb" TargetMode="External"/><Relationship Id="rId35" Type="http://schemas.openxmlformats.org/officeDocument/2006/relationships/hyperlink" Target="https://mefgobpe1.sharepoint.com/:f:/t/DireccindelaOficinadeInfraestructuraTecnolgica/IgDLwoyF5lpGQ5jG9Cn-O4x1Ae70d7frLSLOU3QZ6DDmJjw?e=MkM4RD" TargetMode="External"/><Relationship Id="rId56" Type="http://schemas.openxmlformats.org/officeDocument/2006/relationships/hyperlink" Target="https://mefgobpe1.sharepoint.com/:f:/t/DireccindelaOficinadeInfraestructuraTecnolgica/IgA06S8IqzsVTrMJUXIyaH6VAYxFim3b8i0XgEClJ2DmMpo?e=yQUdoq" TargetMode="External"/><Relationship Id="rId77" Type="http://schemas.openxmlformats.org/officeDocument/2006/relationships/hyperlink" Target="https://mefgobpe1.sharepoint.com/:f:/t/DireccindelaOficinadeInfraestructuraTecnolgica/IgBY5Rq_h0p_QrIAjr0QA1YwAZWL1b6WGbS_qBEk9r99tqM?e=BzkZe8" TargetMode="External"/><Relationship Id="rId100" Type="http://schemas.openxmlformats.org/officeDocument/2006/relationships/hyperlink" Target="https://mefgobpe1.sharepoint.com/:f:/t/DireccindelaOficinadeInfraestructuraTecnolgica/IgCaoE2YAKPdTIhR0cRIhaLnAQtF0T9FDp2UV1Xbq36N_g0?e=Mv4O6N" TargetMode="External"/><Relationship Id="rId105" Type="http://schemas.openxmlformats.org/officeDocument/2006/relationships/hyperlink" Target="https://mefgobpe1.sharepoint.com/:f:/t/DireccindelaOficinadeInfraestructuraTecnolgica/IgBhJybCN6piQrkYooBG7Kd6AeLFRaSNyUqiq2Rogbb0JOU?e=XejjUi" TargetMode="External"/><Relationship Id="rId8" Type="http://schemas.openxmlformats.org/officeDocument/2006/relationships/hyperlink" Target="https://mefgobpe1.sharepoint.com/:f:/t/DireccindelaOficinadeInfraestructuraTecnolgica/IgDtI1itSj1MRIe9w_PuV_8qAWxI3nhcWFemRLD2qjgXkco?e=DCylEI" TargetMode="External"/><Relationship Id="rId51" Type="http://schemas.openxmlformats.org/officeDocument/2006/relationships/hyperlink" Target="https://mefgobpe1.sharepoint.com/:f:/t/DireccindelaOficinadeInfraestructuraTecnolgica/IgDjhjGF19JDRIeDwDUfIO7FAev45khWbVZ8VK4cB271cGM?e=U1nujC" TargetMode="External"/><Relationship Id="rId72" Type="http://schemas.openxmlformats.org/officeDocument/2006/relationships/hyperlink" Target="https://mefgobpe1.sharepoint.com/:f:/t/DireccindelaOficinadeInfraestructuraTecnolgica/IgCzqnpWYXwQRoTRJy4Ukaz-Aft5ctBNoB3Tm9DuplAl7P0?e=TbLOBC" TargetMode="External"/><Relationship Id="rId93" Type="http://schemas.openxmlformats.org/officeDocument/2006/relationships/hyperlink" Target="https://mefgobpe1.sharepoint.com/:f:/t/DireccindelaOficinadeInfraestructuraTecnolgica/IgAncUeKjYpKQKWdhK6Wul2FAb0ivu9bROLNkcQV8UlHFlM?e=eJIHnw" TargetMode="External"/><Relationship Id="rId98" Type="http://schemas.openxmlformats.org/officeDocument/2006/relationships/hyperlink" Target="https://mefgobpe1.sharepoint.com/:f:/t/DireccindelaOficinadeInfraestructuraTecnolgica/IgBma7MgEadHSKoZQ8kUbIx1AbjT2cxciUkwRyP1C7EP2qU?e=3g44IM" TargetMode="External"/><Relationship Id="rId3" Type="http://schemas.openxmlformats.org/officeDocument/2006/relationships/hyperlink" Target="https://mefgobpe1.sharepoint.com/:f:/t/DireccindelaOficinadeInfraestructuraTecnolgica/IgAZXGbnCkU6TontNlj_5zofAbPXwRd4mqf2ka9BS6cc7LU?e=Ejjkds" TargetMode="External"/><Relationship Id="rId25" Type="http://schemas.openxmlformats.org/officeDocument/2006/relationships/hyperlink" Target="https://mefgobpe1.sharepoint.com/:f:/t/DireccindelaOficinadeInfraestructuraTecnolgica/IgBXA1N5IM_fSbK-4mBAuULUAebZf_uVcw4YU2bBO9snkQ0?e=zzrCXa" TargetMode="External"/><Relationship Id="rId46" Type="http://schemas.openxmlformats.org/officeDocument/2006/relationships/hyperlink" Target="https://mefgobpe1.sharepoint.com/:f:/t/DireccindelaOficinadeInfraestructuraTecnolgica/IgATdf9CJN8cQbQcvblcs8u0ATMqLMN04WtNZ6TgjWlgCPw?e=d0qxUi" TargetMode="External"/><Relationship Id="rId67" Type="http://schemas.openxmlformats.org/officeDocument/2006/relationships/hyperlink" Target="https://mefgobpe1.sharepoint.com/:f:/t/DireccindelaOficinadeInfraestructuraTecnolgica/IgB3mKwdSVA2T5wKzIHJsWfUAdgF98kQq88aamvh6DryXbs?e=BIBuXh" TargetMode="External"/><Relationship Id="rId116" Type="http://schemas.openxmlformats.org/officeDocument/2006/relationships/vmlDrawing" Target="../drawings/vmlDrawing1.vml"/><Relationship Id="rId20" Type="http://schemas.openxmlformats.org/officeDocument/2006/relationships/hyperlink" Target="https://mefgobpe1.sharepoint.com/:f:/t/DireccindelaOficinadeInfraestructuraTecnolgica/IgBkEDxQVsnrSZNPX9ZDIeapAZSZtEMhDBEtCdy2R1qrdLs?e=RR4APt" TargetMode="External"/><Relationship Id="rId41" Type="http://schemas.openxmlformats.org/officeDocument/2006/relationships/hyperlink" Target="https://mefgobpe1.sharepoint.com/:f:/t/DireccindelaOficinadeInfraestructuraTecnolgica/IgD2flBX7GfSTbMs7KOQ1x80AcrUHCVL3miZVXO0HQRN_Xw?e=HMbsvN" TargetMode="External"/><Relationship Id="rId62" Type="http://schemas.openxmlformats.org/officeDocument/2006/relationships/hyperlink" Target="https://mefgobpe1.sharepoint.com/:f:/t/DireccindelaOficinadeInfraestructuraTecnolgica/IgCJvVR_i2E3TqrTRjmHWYTAAU3UGXcMVcMOZXjAFDZVMQQ?e=aGZlCY" TargetMode="External"/><Relationship Id="rId83" Type="http://schemas.openxmlformats.org/officeDocument/2006/relationships/hyperlink" Target="https://mefgobpe1.sharepoint.com/:f:/t/DireccindelaOficinadeInfraestructuraTecnolgica/IgAj6Tw_YS4tSIKQoPn_P4NEAd5pTbYuV9EMQZz4i45zAw0?e=YHn26Y" TargetMode="External"/><Relationship Id="rId88" Type="http://schemas.openxmlformats.org/officeDocument/2006/relationships/hyperlink" Target="https://mefgobpe1.sharepoint.com/:f:/t/DireccindelaOficinadeInfraestructuraTecnolgica/IgA4a5y5yaLTSpUdScEjsw1uAeIKR9LLLkuw_wKrthJwmD8?e=k9CbYh" TargetMode="External"/><Relationship Id="rId111" Type="http://schemas.openxmlformats.org/officeDocument/2006/relationships/hyperlink" Target="https://mefgobpe1.sharepoint.com/:f:/t/DireccindelaOficinadeInfraestructuraTecnolgica/IgCVNZbyk9aoSJ7piqo7XJl0AfIZwHvZejp26QI5X1Gr0Ik?e=dJuPrW" TargetMode="External"/><Relationship Id="rId15" Type="http://schemas.openxmlformats.org/officeDocument/2006/relationships/hyperlink" Target="https://mefgobpe1.sharepoint.com/:f:/t/DireccindelaOficinadeInfraestructuraTecnolgica/IgCll127HQEpSImNYotDU9X-AVijdG8ZVg50_SyeasEmpiA?e=acIxyJ" TargetMode="External"/><Relationship Id="rId36" Type="http://schemas.openxmlformats.org/officeDocument/2006/relationships/hyperlink" Target="https://mefgobpe1.sharepoint.com/:f:/t/DireccindelaOficinadeInfraestructuraTecnolgica/IgBfTpEMBO_EQ6wESvhiY_MLAZrBPKth1991sMRDZRtoipI?e=YqP7ZP" TargetMode="External"/><Relationship Id="rId57" Type="http://schemas.openxmlformats.org/officeDocument/2006/relationships/hyperlink" Target="https://mefgobpe1.sharepoint.com/:f:/t/DireccindelaOficinadeInfraestructuraTecnolgica/IgCryDhwWlIWRL82n3CyOgHoAay5kz3yABm4oo8TpwKpU6s?e=549TPk" TargetMode="External"/><Relationship Id="rId106" Type="http://schemas.openxmlformats.org/officeDocument/2006/relationships/hyperlink" Target="https://mefgobpe1.sharepoint.com/:f:/t/DireccindelaOficinadeInfraestructuraTecnolgica/IgBy2FOW_7RFTZ6gSHYnOLwPAQ4zTgnQyXlPob6hDhM90RI?e=2Jvxbj"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mefgobpe1.sharepoint.com/:f:/t/DireccindelaOficinadeInfraestructuraTecnolgica/IgBggS-oH5JqTr_6GWypG4b4ATKxqfyCVeq7C0aBSIKTF4c?e=LBGJEY" TargetMode="External"/><Relationship Id="rId18" Type="http://schemas.openxmlformats.org/officeDocument/2006/relationships/hyperlink" Target="https://mefgobpe1.sharepoint.com/:f:/t/DireccindelaOficinadeInfraestructuraTecnolgica/IgA9cJfXxPsWSrNqD9HaRbozAaXWixz8fwTopb-CgIW66Dg?e=QYD4wl" TargetMode="External"/><Relationship Id="rId26" Type="http://schemas.openxmlformats.org/officeDocument/2006/relationships/hyperlink" Target="https://mefgobpe1.sharepoint.com/:f:/t/DireccindelaOficinadeInfraestructuraTecnolgica/IgA5gBlY8VItRq97esaRWn-MAcTFFz3f8TojpHvQYGpQOXE?e=djA0vM" TargetMode="External"/><Relationship Id="rId39" Type="http://schemas.openxmlformats.org/officeDocument/2006/relationships/hyperlink" Target="https://mefgobpe1.sharepoint.com/:f:/t/DireccindelaOficinadeInfraestructuraTecnolgica/IgAiRw1f-SK6SL9hZ__gV0JPAZMJCyiR2Op7RyTWw4edO2c?e=Ob19Gs" TargetMode="External"/><Relationship Id="rId21" Type="http://schemas.openxmlformats.org/officeDocument/2006/relationships/hyperlink" Target="https://mefgobpe1.sharepoint.com/:f:/t/DireccindelaOficinadeInfraestructuraTecnolgica/IgDky8i02ETlQK-qjRtzCLJNAY7eP5CRffdnZDdkunAdmLo?e=H75nC0" TargetMode="External"/><Relationship Id="rId34" Type="http://schemas.openxmlformats.org/officeDocument/2006/relationships/hyperlink" Target="https://mefgobpe1.sharepoint.com/:f:/t/DireccindelaOficinadeInfraestructuraTecnolgica/IgDLwoyF5lpGQ5jG9Cn-O4x1Ae70d7frLSLOU3QZ6DDmJjw?e=MkM4RD" TargetMode="External"/><Relationship Id="rId42" Type="http://schemas.openxmlformats.org/officeDocument/2006/relationships/hyperlink" Target="https://mefgobpe1.sharepoint.com/:f:/t/DireccindelaOficinadeInfraestructuraTecnolgica/IgD2flBX7GfSTbMs7KOQ1x80AcrUHCVL3miZVXO0HQRN_Xw?e=HMbsvN" TargetMode="External"/><Relationship Id="rId47" Type="http://schemas.openxmlformats.org/officeDocument/2006/relationships/printerSettings" Target="../printerSettings/printerSettings2.bin"/><Relationship Id="rId7" Type="http://schemas.openxmlformats.org/officeDocument/2006/relationships/hyperlink" Target="https://mefgobpe1.sharepoint.com/:f:/t/DireccindelaOficinadeInfraestructuraTecnolgica/IgAdCBapqOqqRJpyEFJ7XwgXAX0rGkLM2DRJnlRRxk9fGTo?e=7jpXkp" TargetMode="External"/><Relationship Id="rId2" Type="http://schemas.openxmlformats.org/officeDocument/2006/relationships/hyperlink" Target="https://mefgobpe1.sharepoint.com/:f:/t/DireccindelaOficinadeInfraestructuraTecnolgica/IgAMjzQ2CwrsSrZrpbNNuH6TAexSvIZkaygR0PcCrH9EkUg?e=bpppHT" TargetMode="External"/><Relationship Id="rId16" Type="http://schemas.openxmlformats.org/officeDocument/2006/relationships/hyperlink" Target="https://mefgobpe1.sharepoint.com/:f:/t/DireccindelaOficinadeInfraestructuraTecnolgica/IgA_ThXieabKQYWhIq9N88JYAUdCaTsOhspNLFXZ1xVx_XQ?e=6VmMxh" TargetMode="External"/><Relationship Id="rId29" Type="http://schemas.openxmlformats.org/officeDocument/2006/relationships/hyperlink" Target="https://mefgobpe1.sharepoint.com/:f:/t/DireccindelaOficinadeInfraestructuraTecnolgica/IgClC0OTToCDT6oGNBM5jfewAeFgWpwpzloVtV_wDB75PUA?e=1HQdlB" TargetMode="External"/><Relationship Id="rId11" Type="http://schemas.openxmlformats.org/officeDocument/2006/relationships/hyperlink" Target="https://mefgobpe1.sharepoint.com/:f:/t/DireccindelaOficinadeInfraestructuraTecnolgica/IgA5G0WmVxohTqP5MQbMskHSAWM6M_Nigc_QT61A2izummk?e=2mwTcX" TargetMode="External"/><Relationship Id="rId24" Type="http://schemas.openxmlformats.org/officeDocument/2006/relationships/hyperlink" Target="https://mefgobpe1.sharepoint.com/:f:/t/DireccindelaOficinadeInfraestructuraTecnolgica/IgBLxDtaZfKnRrwzowRjwG-_ASZQ5oP-5uso6q0-otUe3aY?e=M1mghK" TargetMode="External"/><Relationship Id="rId32" Type="http://schemas.openxmlformats.org/officeDocument/2006/relationships/hyperlink" Target="https://mefgobpe1.sharepoint.com/:f:/t/DireccindelaOficinadeInfraestructuraTecnolgica/IgByz6DfXvV6SaiSj3QDxmGgAbuEEZLO-att1RGPIFhijJY?e=fhYV1S" TargetMode="External"/><Relationship Id="rId37" Type="http://schemas.openxmlformats.org/officeDocument/2006/relationships/hyperlink" Target="https://mefgobpe1.sharepoint.com/:f:/t/DireccindelaOficinadeInfraestructuraTecnolgica/IgA0R5MMthTbQLxbmjQ4a9jDATdvi_mCfsIDW4JFeRnA_r0?e=gtG8Ku" TargetMode="External"/><Relationship Id="rId40" Type="http://schemas.openxmlformats.org/officeDocument/2006/relationships/hyperlink" Target="https://mefgobpe1.sharepoint.com/:f:/t/DireccindelaOficinadeInfraestructuraTecnolgica/IgCVNZbyk9aoSJ7piqo7XJl0AfIZwHvZejp26QI5X1Gr0Ik?e=dJuPrW" TargetMode="External"/><Relationship Id="rId45" Type="http://schemas.openxmlformats.org/officeDocument/2006/relationships/hyperlink" Target="https://mefgobpe1.sharepoint.com/:f:/t/DireccindelaOficinadeInfraestructuraTecnolgica/IgAsBDCJ9xclRbhEFK5UxzHqATql7VV08pXZIbXrDfZyuAk?e=efmGad" TargetMode="External"/><Relationship Id="rId5" Type="http://schemas.openxmlformats.org/officeDocument/2006/relationships/hyperlink" Target="https://mefgobpe1.sharepoint.com/:f:/t/DireccindelaOficinadeInfraestructuraTecnolgica/IgAuQUOZDJlsS52DtyJNBD8aAQ9zOl_Ud_ejgD_u3ufWXIQ?e=YafDUj" TargetMode="External"/><Relationship Id="rId15" Type="http://schemas.openxmlformats.org/officeDocument/2006/relationships/hyperlink" Target="https://mefgobpe1.sharepoint.com/:f:/t/DireccindelaOficinadeInfraestructuraTecnolgica/IgCll127HQEpSImNYotDU9X-AVijdG8ZVg50_SyeasEmpiA?e=acIxyJ" TargetMode="External"/><Relationship Id="rId23" Type="http://schemas.openxmlformats.org/officeDocument/2006/relationships/hyperlink" Target="https://mefgobpe1.sharepoint.com/:f:/t/DireccindelaOficinadeInfraestructuraTecnolgica/IgDoXKLz4NE9Tqyf56JnMjHPAcHoSL-YGFCuyQgQ-wd8rb8?e=ZAiGSf" TargetMode="External"/><Relationship Id="rId28" Type="http://schemas.openxmlformats.org/officeDocument/2006/relationships/hyperlink" Target="https://mefgobpe1.sharepoint.com/:f:/t/DireccindelaOficinadeInfraestructuraTecnolgica/IgBa6v7XUA2jT6nfQhjbJIQhAdGoEhfA_JT7N7P07K2kCj8?e=jm37EK" TargetMode="External"/><Relationship Id="rId36" Type="http://schemas.openxmlformats.org/officeDocument/2006/relationships/hyperlink" Target="https://mefgobpe1.sharepoint.com/:f:/t/DireccindelaOficinadeInfraestructuraTecnolgica/IgBfTpEMBO_EQ6wESvhiY_MLAZrBPKth1991sMRDZRtoipI?e=YqP7ZP" TargetMode="External"/><Relationship Id="rId49" Type="http://schemas.openxmlformats.org/officeDocument/2006/relationships/comments" Target="../comments2.xml"/><Relationship Id="rId10" Type="http://schemas.openxmlformats.org/officeDocument/2006/relationships/hyperlink" Target="https://mefgobpe1.sharepoint.com/:f:/t/DireccindelaOficinadeInfraestructuraTecnolgica/IgC1sKmCnD2OR6nwjjoR-5QzAWuoyeFD46P5CnRUqQofQSM?e=fKqH5P" TargetMode="External"/><Relationship Id="rId19" Type="http://schemas.openxmlformats.org/officeDocument/2006/relationships/hyperlink" Target="https://mefgobpe1.sharepoint.com/:f:/t/DireccindelaOficinadeInfraestructuraTecnolgica/IgC5keBoO6yUTY2pp9YKreusASg9cM4_iBsOqn5zrKc9kHA?e=wC8brs" TargetMode="External"/><Relationship Id="rId31" Type="http://schemas.openxmlformats.org/officeDocument/2006/relationships/hyperlink" Target="https://mefgobpe1.sharepoint.com/:f:/t/DireccindelaOficinadeInfraestructuraTecnolgica/IgD0BRP6axX4RZWju57kPBYLAfg195MIEez6fBiAsKEFHQ0?e=9E2aRp" TargetMode="External"/><Relationship Id="rId44" Type="http://schemas.openxmlformats.org/officeDocument/2006/relationships/hyperlink" Target="https://mefgobpe1.sharepoint.com/:f:/t/DireccindelaOficinadeInfraestructuraTecnolgica/IgAc7H8GoPbfTr8WCDZnFkZnAaacb9TajeH91vfdbrGth4g?e=zAuHF0" TargetMode="External"/><Relationship Id="rId4" Type="http://schemas.openxmlformats.org/officeDocument/2006/relationships/hyperlink" Target="https://mefgobpe1.sharepoint.com/:f:/t/DireccindelaOficinadeInfraestructuraTecnolgica/IgDhJgwKBPIITJaNuzbU7fwMAWJyPbtURdvydZOXH0YHWGA?e=5X4nby" TargetMode="External"/><Relationship Id="rId9" Type="http://schemas.openxmlformats.org/officeDocument/2006/relationships/hyperlink" Target="https://mefgobpe1.sharepoint.com/:f:/t/DireccindelaOficinadeInfraestructuraTecnolgica/IgDtI1itSj1MRIe9w_PuV_8qAWxI3nhcWFemRLD2qjgXkco?e=DCylEI" TargetMode="External"/><Relationship Id="rId14" Type="http://schemas.openxmlformats.org/officeDocument/2006/relationships/hyperlink" Target="https://mefgobpe1.sharepoint.com/:f:/t/DireccindelaOficinadeInfraestructuraTecnolgica/IgAhsups6_SGQojMLYgdHk-0AXwoAEv3n-GpPgZzS4F96cQ?e=SUEvKN" TargetMode="External"/><Relationship Id="rId22" Type="http://schemas.openxmlformats.org/officeDocument/2006/relationships/hyperlink" Target="https://mefgobpe1.sharepoint.com/:f:/t/DireccindelaOficinadeInfraestructuraTecnolgica/IgARkGxBhBLuTIDw-AnIkVpjAQdVJ4Q7KQrpsR9OBEzSV3E?e=hICdmD" TargetMode="External"/><Relationship Id="rId27" Type="http://schemas.openxmlformats.org/officeDocument/2006/relationships/hyperlink" Target="https://mefgobpe1.sharepoint.com/:f:/t/DireccindelaOficinadeInfraestructuraTecnolgica/IgBa6v7XUA2jT6nfQhjbJIQhAdGoEhfA_JT7N7P07K2kCj8?e=jm37EK" TargetMode="External"/><Relationship Id="rId30" Type="http://schemas.openxmlformats.org/officeDocument/2006/relationships/hyperlink" Target="https://mefgobpe1.sharepoint.com/:f:/t/DireccindelaOficinadeInfraestructuraTecnolgica/IgA90WhNiS2ISL-dyIhAIXhKAWgrgtxNRaQbDF3PoJd1trE?e=0SUbeb" TargetMode="External"/><Relationship Id="rId35" Type="http://schemas.openxmlformats.org/officeDocument/2006/relationships/hyperlink" Target="https://mefgobpe1.sharepoint.com/:f:/t/DireccindelaOficinadeInfraestructuraTecnolgica/IgDLwoyF5lpGQ5jG9Cn-O4x1Ae70d7frLSLOU3QZ6DDmJjw?e=MkM4RD" TargetMode="External"/><Relationship Id="rId43" Type="http://schemas.openxmlformats.org/officeDocument/2006/relationships/hyperlink" Target="https://mefgobpe1.sharepoint.com/:f:/t/DireccindelaOficinadeInfraestructuraTecnolgica/IgBKbKB4mdN1SbnHlk94zmKFAWpR_Tc_rBU2iTcW91S3K-c?e=TEIgtQ" TargetMode="External"/><Relationship Id="rId48" Type="http://schemas.openxmlformats.org/officeDocument/2006/relationships/vmlDrawing" Target="../drawings/vmlDrawing2.vml"/><Relationship Id="rId8" Type="http://schemas.openxmlformats.org/officeDocument/2006/relationships/hyperlink" Target="https://mefgobpe1.sharepoint.com/:f:/t/DireccindelaOficinadeInfraestructuraTecnolgica/IgDtI1itSj1MRIe9w_PuV_8qAWxI3nhcWFemRLD2qjgXkco?e=DCylEI" TargetMode="External"/><Relationship Id="rId3" Type="http://schemas.openxmlformats.org/officeDocument/2006/relationships/hyperlink" Target="https://mefgobpe1.sharepoint.com/:f:/t/DireccindelaOficinadeInfraestructuraTecnolgica/IgAZXGbnCkU6TontNlj_5zofAbPXwRd4mqf2ka9BS6cc7LU?e=Ejjkds" TargetMode="External"/><Relationship Id="rId12" Type="http://schemas.openxmlformats.org/officeDocument/2006/relationships/hyperlink" Target="https://mefgobpe1.sharepoint.com/:f:/t/DireccindelaOficinadeInfraestructuraTecnolgica/IgBFT23nqG9zQ7rbTFVcZ7QxAYluJ9F4NfR0qxfKpTAXlgY?e=nMW8TE" TargetMode="External"/><Relationship Id="rId17" Type="http://schemas.openxmlformats.org/officeDocument/2006/relationships/hyperlink" Target="https://mefgobpe1.sharepoint.com/:f:/t/DireccindelaOficinadeInfraestructuraTecnolgica/IgAJ7qpoO04-RKLsaYI_TPCaAVnLB3BfeTI4TPceZmZC55c?e=sVYOpK" TargetMode="External"/><Relationship Id="rId25" Type="http://schemas.openxmlformats.org/officeDocument/2006/relationships/hyperlink" Target="https://mefgobpe1.sharepoint.com/:f:/t/DireccindelaOficinadeInfraestructuraTecnolgica/IgBXA1N5IM_fSbK-4mBAuULUAebZf_uVcw4YU2bBO9snkQ0?e=zzrCXa" TargetMode="External"/><Relationship Id="rId33" Type="http://schemas.openxmlformats.org/officeDocument/2006/relationships/hyperlink" Target="https://mefgobpe1.sharepoint.com/:f:/t/DireccindelaOficinadeInfraestructuraTecnolgica/IgBnvm7wfHfYTa7oXSw1DWjXAUKkhZUZyDEbdETPv5R5BMk?e=8vTbdb" TargetMode="External"/><Relationship Id="rId38" Type="http://schemas.openxmlformats.org/officeDocument/2006/relationships/hyperlink" Target="https://mefgobpe1.sharepoint.com/:f:/t/DireccindelaOficinadeInfraestructuraTecnolgica/IgCnzxNk-eJ5SYfMig5joajHATNiVaCYfk9WMvuLvUi8HX8?e=PZJj3r" TargetMode="External"/><Relationship Id="rId46" Type="http://schemas.openxmlformats.org/officeDocument/2006/relationships/hyperlink" Target="https://mefgobpe1.sharepoint.com/:f:/t/DireccindelaOficinadeInfraestructuraTecnolgica/IgD6JLj_wjUgRJ2H1glPSFJGAasqmd1zXLL-AaCy1G5coZw?e=ydeWx0" TargetMode="External"/><Relationship Id="rId20" Type="http://schemas.openxmlformats.org/officeDocument/2006/relationships/hyperlink" Target="https://mefgobpe1.sharepoint.com/:f:/t/DireccindelaOficinadeInfraestructuraTecnolgica/IgBkEDxQVsnrSZNPX9ZDIeapAZSZtEMhDBEtCdy2R1qrdLs?e=RR4APt" TargetMode="External"/><Relationship Id="rId41" Type="http://schemas.openxmlformats.org/officeDocument/2006/relationships/hyperlink" Target="https://mefgobpe1.sharepoint.com/:f:/t/DireccindelaOficinadeInfraestructuraTecnolgica/IgBUPSsg35-qQp6tZtqKWwwPAb2SNicKo9peNvNYzi6Jkdo?e=bH0dAj" TargetMode="External"/><Relationship Id="rId1" Type="http://schemas.openxmlformats.org/officeDocument/2006/relationships/hyperlink" Target="https://mefgobpe1.sharepoint.com/:f:/t/DireccindelaOficinadeInfraestructuraTecnolgica/IgAMjzQ2CwrsSrZrpbNNuH6TAexSvIZkaygR0PcCrH9EkUg?e=bpppHT" TargetMode="External"/><Relationship Id="rId6" Type="http://schemas.openxmlformats.org/officeDocument/2006/relationships/hyperlink" Target="https://mefgobpe1.sharepoint.com/:f:/t/DireccindelaOficinadeInfraestructuraTecnolgica/IgA4J9G8lX8jTL50cb-xPfgVAYuuw3a9sQa6941P4nOdfms?e=DE2hg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19EDB-E2CC-4E42-A4EB-DB267B9B28C9}">
  <sheetPr>
    <tabColor theme="3"/>
  </sheetPr>
  <dimension ref="A1:AM160"/>
  <sheetViews>
    <sheetView zoomScale="70" zoomScaleNormal="70" workbookViewId="0">
      <pane ySplit="3" topLeftCell="A4" activePane="bottomLeft" state="frozen"/>
      <selection pane="bottomLeft" activeCell="AB3" sqref="AB3"/>
    </sheetView>
  </sheetViews>
  <sheetFormatPr baseColWidth="10" defaultColWidth="43.5703125" defaultRowHeight="15"/>
  <cols>
    <col min="1" max="1" width="16.28515625" style="1" customWidth="1"/>
    <col min="2" max="2" width="11.42578125" style="1" customWidth="1"/>
    <col min="3" max="3" width="16.28515625" style="1" customWidth="1"/>
    <col min="4" max="4" width="14" style="1" customWidth="1"/>
    <col min="5" max="5" width="22.140625" style="1" customWidth="1"/>
    <col min="6" max="6" width="26.140625" style="1" customWidth="1"/>
    <col min="7" max="7" width="19.28515625" style="35" customWidth="1"/>
    <col min="8" max="8" width="43.5703125" style="2" customWidth="1"/>
    <col min="9" max="9" width="32.7109375" style="35" customWidth="1"/>
    <col min="10" max="10" width="29.7109375" style="2" customWidth="1"/>
    <col min="11" max="11" width="16.42578125" style="1" customWidth="1"/>
    <col min="12" max="15" width="14.7109375" style="1" customWidth="1"/>
    <col min="16" max="16" width="16.140625" style="1" customWidth="1"/>
    <col min="17" max="17" width="17" style="1" customWidth="1"/>
    <col min="18" max="19" width="16.5703125" style="1" customWidth="1"/>
    <col min="20" max="20" width="20.28515625" style="1" customWidth="1"/>
    <col min="21" max="24" width="22.28515625" style="1" customWidth="1"/>
    <col min="25" max="25" width="21.7109375" style="1" customWidth="1"/>
    <col min="26" max="26" width="22.28515625" style="1" customWidth="1"/>
    <col min="27" max="29" width="21.7109375" style="1" customWidth="1"/>
    <col min="30" max="30" width="18" style="1" customWidth="1"/>
    <col min="31" max="31" width="21.7109375" style="1" customWidth="1"/>
    <col min="32" max="33" width="29.28515625" style="1" customWidth="1"/>
    <col min="34" max="34" width="17.140625" style="1" customWidth="1"/>
    <col min="35" max="36" width="14.5703125" style="1" customWidth="1"/>
    <col min="37" max="38" width="17.42578125" style="1" customWidth="1"/>
    <col min="39" max="39" width="15.85546875" style="1" customWidth="1"/>
    <col min="40" max="16384" width="43.5703125" style="1"/>
  </cols>
  <sheetData>
    <row r="1" spans="1:38" ht="19.899999999999999" customHeight="1" thickBot="1">
      <c r="A1" s="231" t="s">
        <v>0</v>
      </c>
      <c r="B1" s="232"/>
      <c r="C1" s="232"/>
      <c r="D1" s="232"/>
      <c r="E1" s="232"/>
      <c r="F1" s="232"/>
      <c r="G1" s="232"/>
      <c r="H1" s="232"/>
      <c r="I1" s="232"/>
      <c r="J1" s="232"/>
      <c r="K1" s="232"/>
      <c r="L1" s="232"/>
      <c r="M1" s="232"/>
      <c r="N1" s="232"/>
      <c r="O1" s="232"/>
      <c r="P1" s="232"/>
      <c r="Q1" s="232"/>
      <c r="R1" s="232"/>
      <c r="S1" s="232"/>
      <c r="T1" s="232"/>
      <c r="U1" s="232"/>
      <c r="V1" s="232"/>
      <c r="W1" s="232"/>
      <c r="X1" s="232"/>
      <c r="Y1" s="232"/>
      <c r="Z1" s="232"/>
      <c r="AA1" s="232"/>
      <c r="AB1" s="232"/>
      <c r="AC1" s="232"/>
      <c r="AD1" s="232"/>
      <c r="AE1" s="232"/>
      <c r="AF1" s="232"/>
      <c r="AG1" s="232"/>
      <c r="AH1" s="233"/>
      <c r="AI1" s="233"/>
      <c r="AJ1" s="233"/>
      <c r="AK1" s="233"/>
      <c r="AL1" s="234"/>
    </row>
    <row r="2" spans="1:38" s="36" customFormat="1" ht="23.45" customHeight="1" thickBot="1">
      <c r="A2" s="228" t="s">
        <v>1</v>
      </c>
      <c r="B2" s="229"/>
      <c r="C2" s="229"/>
      <c r="D2" s="229"/>
      <c r="E2" s="229"/>
      <c r="F2" s="229"/>
      <c r="G2" s="229"/>
      <c r="H2" s="229"/>
      <c r="I2" s="229"/>
      <c r="J2" s="229"/>
      <c r="K2" s="229"/>
      <c r="L2" s="229"/>
      <c r="M2" s="229"/>
      <c r="N2" s="229"/>
      <c r="O2" s="229"/>
      <c r="P2" s="230"/>
      <c r="Q2" s="226" t="s">
        <v>2</v>
      </c>
      <c r="R2" s="227"/>
      <c r="S2" s="227"/>
      <c r="T2" s="227"/>
      <c r="U2" s="227"/>
      <c r="V2" s="227"/>
      <c r="W2" s="227"/>
      <c r="X2" s="227"/>
      <c r="Y2" s="227"/>
      <c r="Z2" s="227"/>
      <c r="AA2" s="227"/>
      <c r="AB2" s="227"/>
      <c r="AC2" s="227"/>
      <c r="AD2" s="227"/>
      <c r="AE2" s="227"/>
      <c r="AF2" s="227"/>
      <c r="AG2" s="227"/>
      <c r="AH2" s="235" t="s">
        <v>3</v>
      </c>
      <c r="AI2" s="236"/>
      <c r="AJ2" s="236"/>
      <c r="AK2" s="236"/>
      <c r="AL2" s="237"/>
    </row>
    <row r="3" spans="1:38" ht="30" customHeight="1" thickBot="1">
      <c r="A3" s="201" t="s">
        <v>4</v>
      </c>
      <c r="B3" s="202" t="s">
        <v>5</v>
      </c>
      <c r="C3" s="203" t="s">
        <v>6</v>
      </c>
      <c r="D3" s="204" t="s">
        <v>7</v>
      </c>
      <c r="E3" s="205" t="s">
        <v>8</v>
      </c>
      <c r="F3" s="205" t="s">
        <v>9</v>
      </c>
      <c r="G3" s="205" t="s">
        <v>10</v>
      </c>
      <c r="H3" s="205" t="s">
        <v>11</v>
      </c>
      <c r="I3" s="205" t="s">
        <v>12</v>
      </c>
      <c r="J3" s="205" t="s">
        <v>13</v>
      </c>
      <c r="K3" s="205" t="s">
        <v>14</v>
      </c>
      <c r="L3" s="205" t="s">
        <v>15</v>
      </c>
      <c r="M3" s="205" t="s">
        <v>16</v>
      </c>
      <c r="N3" s="203" t="s">
        <v>17</v>
      </c>
      <c r="O3" s="203" t="s">
        <v>18</v>
      </c>
      <c r="P3" s="206" t="s">
        <v>19</v>
      </c>
      <c r="Q3" s="207" t="s">
        <v>20</v>
      </c>
      <c r="R3" s="208" t="s">
        <v>21</v>
      </c>
      <c r="S3" s="208" t="s">
        <v>22</v>
      </c>
      <c r="T3" s="208" t="s">
        <v>23</v>
      </c>
      <c r="U3" s="209" t="s">
        <v>24</v>
      </c>
      <c r="V3" s="209" t="s">
        <v>25</v>
      </c>
      <c r="W3" s="209" t="s">
        <v>26</v>
      </c>
      <c r="X3" s="209" t="s">
        <v>27</v>
      </c>
      <c r="Y3" s="210" t="s">
        <v>28</v>
      </c>
      <c r="Z3" s="207" t="s">
        <v>29</v>
      </c>
      <c r="AA3" s="210" t="s">
        <v>30</v>
      </c>
      <c r="AB3" s="210" t="s">
        <v>31</v>
      </c>
      <c r="AC3" s="210" t="s">
        <v>32</v>
      </c>
      <c r="AD3" s="208" t="s">
        <v>33</v>
      </c>
      <c r="AE3" s="211" t="s">
        <v>34</v>
      </c>
      <c r="AF3" s="211" t="s">
        <v>35</v>
      </c>
      <c r="AG3" s="209" t="s">
        <v>36</v>
      </c>
      <c r="AH3" s="216" t="s">
        <v>37</v>
      </c>
      <c r="AI3" s="214" t="s">
        <v>38</v>
      </c>
      <c r="AJ3" s="215" t="s">
        <v>39</v>
      </c>
      <c r="AK3" s="214" t="s">
        <v>40</v>
      </c>
      <c r="AL3" s="215" t="s">
        <v>41</v>
      </c>
    </row>
    <row r="4" spans="1:38" ht="44.1" customHeight="1">
      <c r="A4" s="183" t="s">
        <v>42</v>
      </c>
      <c r="B4" s="37" t="str">
        <f ca="1">IF(OR(Q4="Desistido",Q4="No corresponde Atención OGTI",Q4="Para reformulación",Q4="Paralizado",Q4="-",Z4="Renovado",AND(AH4="NO",Z4="Culminado")),"NO","SI")</f>
        <v>NO</v>
      </c>
      <c r="C4" s="184" t="s">
        <v>43</v>
      </c>
      <c r="D4" s="185" t="s">
        <v>44</v>
      </c>
      <c r="E4" s="185" t="s">
        <v>45</v>
      </c>
      <c r="F4" s="185" t="s">
        <v>46</v>
      </c>
      <c r="G4" s="186" t="s">
        <v>47</v>
      </c>
      <c r="H4" s="109" t="s">
        <v>48</v>
      </c>
      <c r="I4" s="187" t="s">
        <v>49</v>
      </c>
      <c r="J4" s="109" t="s">
        <v>50</v>
      </c>
      <c r="K4" s="187" t="s">
        <v>51</v>
      </c>
      <c r="L4" s="110" t="s">
        <v>52</v>
      </c>
      <c r="M4" s="110" t="s">
        <v>52</v>
      </c>
      <c r="N4" s="110" t="s">
        <v>53</v>
      </c>
      <c r="O4" s="111">
        <v>6808.64</v>
      </c>
      <c r="P4" s="188">
        <v>46113</v>
      </c>
      <c r="Q4" s="189" t="s">
        <v>54</v>
      </c>
      <c r="R4" s="190" t="s">
        <v>43</v>
      </c>
      <c r="S4" s="191" t="s">
        <v>43</v>
      </c>
      <c r="T4" s="156" t="str">
        <f ca="1">IFERROR(IF(OR(Q4="Ejecutado",Q4="No corresponde atención OGTI",Q4="Desistido",Q4="-",Q4="Para reformulación"),"-",IF(OR(S4="-",S4=""),"Falta fecha_estado",NETWORKDAYS(S4,TODAY(),{"02/04/2026";"03/04/2026";"30/06/2026"}))),"-")</f>
        <v>-</v>
      </c>
      <c r="U4" s="192" t="s">
        <v>55</v>
      </c>
      <c r="V4" s="193" t="s">
        <v>56</v>
      </c>
      <c r="W4" s="187">
        <v>46154</v>
      </c>
      <c r="X4" s="194" t="s">
        <v>57</v>
      </c>
      <c r="Y4" s="195" t="s">
        <v>52</v>
      </c>
      <c r="Z4" s="196" t="str">
        <f ca="1">IFERROR(IF(Q4="-","-",IF(Q4="Proceso de implementación/Activación/Entrega","Proceso de implementación/Activación/Entrega",IF(OR(Q4="Desistido",Q4="No corresponde atención OGTI",Q4="Para reformulación"),Q4,IF(AND(Q4="Ejecutado",AA4="No aplica",AB4="No Aplica"),"Culminado",IF(Q4="Ejecutado",IF(AND(AC4="-",G4="Bienes"),"Culminado",IF(AC4="-","Falta informacion",IF(AND(AB4-TODAY()&gt;=0,AB4-TODAY()&lt;=90),"Vigente_por vencer",IF(AND(AH4&lt;&gt;"SI",AB4&lt;TODAY()),"Culminado",IF(AND(AH4="SI",AB4&lt;TODAY(),OR(AK4="Sin Registro",AL4="Sin Registro")),"Vencido",IF(AND(AH4="SI",AB4&lt;TODAY(),AK4&gt;AA4,AL4&gt;AB4),"Renovado","Vigente")))))),"En tramite"))))),"-")</f>
        <v>Culminado</v>
      </c>
      <c r="AA4" s="197" t="s">
        <v>43</v>
      </c>
      <c r="AB4" s="198" t="s">
        <v>43</v>
      </c>
      <c r="AC4" s="199" t="str">
        <f>IFERROR(IF(OR(AA4="-",AA4="",AB4="-",AB4=""),"-",CONCATENATE('Seguimiento OIT'!AB4-'Seguimiento OIT'!AA4+1," dias")),"-")</f>
        <v>-</v>
      </c>
      <c r="AD4" s="114" t="str">
        <f ca="1">IFERROR(IF(Z4="Vencido",(TODAY()-AB4)+1,"-"),"-")</f>
        <v>-</v>
      </c>
      <c r="AE4" s="110" t="s">
        <v>43</v>
      </c>
      <c r="AF4" s="110" t="s">
        <v>58</v>
      </c>
      <c r="AG4" s="200" t="s">
        <v>59</v>
      </c>
      <c r="AH4" s="217" t="s">
        <v>44</v>
      </c>
      <c r="AI4" s="223" t="str">
        <f>IFERROR(IF(AH4="SI",VLOOKUP(A4,$C$4:$AL$151,15,FALSE),"-"),"Sin tramite")</f>
        <v>-</v>
      </c>
      <c r="AJ4" s="223" t="str">
        <f>IFERROR(IF(AH4="SI",VLOOKUP(A4,$C$4:$AL$151,7,FALSE),"-"),"Sin HR")</f>
        <v>-</v>
      </c>
      <c r="AK4" s="223" t="str">
        <f>IF(AH4="SI",IFERROR(IF(VLOOKUP(A4,$C$4:$AL$151,25,FALSE)="","Sin registro",VLOOKUP(A4,$C$4:$AL$151,25,FALSE)),"Sin registro"),"-")</f>
        <v>-</v>
      </c>
      <c r="AL4" s="224" t="str">
        <f>IF(AH4="SI",IFERROR(IF(VLOOKUP(A4,$C$4:$AL$151,26,FALSE)="","Sin registro",VLOOKUP(A4,$C$4:$AL$151,26,FALSE)),"Sin registro"),"-")</f>
        <v>-</v>
      </c>
    </row>
    <row r="5" spans="1:38" ht="44.1" customHeight="1">
      <c r="A5" s="97" t="s">
        <v>60</v>
      </c>
      <c r="B5" s="37" t="str">
        <f t="shared" ref="B5:B68" ca="1" si="0">IF(OR(Q5="Desistido",Q5="No corresponde Atención OGTI",Q5="Para reformulación",Q5="Paralizado",Q5="-",Z5="Renovado",AND(AH5="NO",Z5="Culminado")),"NO","SI")</f>
        <v>NO</v>
      </c>
      <c r="C5" s="165" t="s">
        <v>43</v>
      </c>
      <c r="D5" s="61" t="s">
        <v>44</v>
      </c>
      <c r="E5" s="61" t="s">
        <v>45</v>
      </c>
      <c r="F5" s="61" t="s">
        <v>61</v>
      </c>
      <c r="G5" s="167" t="s">
        <v>47</v>
      </c>
      <c r="H5" s="60" t="s">
        <v>62</v>
      </c>
      <c r="I5" s="62" t="s">
        <v>63</v>
      </c>
      <c r="J5" s="60" t="s">
        <v>64</v>
      </c>
      <c r="K5" s="62" t="s">
        <v>51</v>
      </c>
      <c r="L5" s="63" t="s">
        <v>52</v>
      </c>
      <c r="M5" s="63" t="s">
        <v>52</v>
      </c>
      <c r="N5" s="63" t="s">
        <v>53</v>
      </c>
      <c r="O5" s="64">
        <v>1192.2</v>
      </c>
      <c r="P5" s="120">
        <v>46113</v>
      </c>
      <c r="Q5" s="116" t="s">
        <v>54</v>
      </c>
      <c r="R5" s="159" t="s">
        <v>43</v>
      </c>
      <c r="S5" s="161" t="s">
        <v>43</v>
      </c>
      <c r="T5" s="68" t="str">
        <f ca="1">IFERROR(IF(OR(Q5="Ejecutado",Q5="No corresponde atención OGTI",Q5="Desistido",Q5="-",Q5="Para reformulación"),"-",IF(OR(S5="-",S5=""),"Falta fecha_estado",NETWORKDAYS(S5,TODAY(),{"02/04/2026";"03/04/2026";"30/06/2026"}))),"-")</f>
        <v>-</v>
      </c>
      <c r="U5" s="69" t="s">
        <v>55</v>
      </c>
      <c r="V5" s="162" t="s">
        <v>65</v>
      </c>
      <c r="W5" s="62">
        <v>46129</v>
      </c>
      <c r="X5" s="150" t="s">
        <v>66</v>
      </c>
      <c r="Y5" s="169" t="s">
        <v>52</v>
      </c>
      <c r="Z5" s="196" t="str">
        <f t="shared" ref="Z5:Z68" ca="1" si="1">IFERROR(IF(Q5="-","-",IF(Q5="Proceso de implementación/Activación/Entrega","Proceso de implementación/Activación/Entrega",IF(OR(Q5="Desistido",Q5="No corresponde atención OGTI",Q5="Para reformulación"),Q5,IF(AND(Q5="Ejecutado",AA5="No aplica",AB5="No Aplica"),"Culminado",IF(Q5="Ejecutado",IF(AND(AC5="-",G5="Bienes"),"Culminado",IF(AC5="-","Falta informacion",IF(AND(AB5-TODAY()&gt;=0,AB5-TODAY()&lt;=90),"Vigente_por vencer",IF(AND(AH5&lt;&gt;"SI",AB5&lt;TODAY()),"Culminado",IF(AND(AH5="SI",AB5&lt;TODAY(),OR(AK5="Sin Registro",AL5="Sin Registro")),"Vencido",IF(AND(AH5="SI",AB5&lt;TODAY(),AK5&gt;AA5,AL5&gt;AB5),"Renovado","Vigente")))))),"En tramite"))))),"-")</f>
        <v>Culminado</v>
      </c>
      <c r="AA5" s="173" t="s">
        <v>43</v>
      </c>
      <c r="AB5" s="74" t="s">
        <v>43</v>
      </c>
      <c r="AC5" s="157" t="str">
        <f>IFERROR(IF(OR(AA5="-",AA5="",AB5="-",AB5=""),"-",CONCATENATE('Seguimiento OIT'!AB5-'Seguimiento OIT'!AA5+1," dias")),"-")</f>
        <v>-</v>
      </c>
      <c r="AD5" s="114" t="str">
        <f t="shared" ref="AD5:AD69" ca="1" si="2">IFERROR(IF(Z5="Vencido",(TODAY()-AB5)+1,"-"),"-")</f>
        <v>-</v>
      </c>
      <c r="AE5" s="63" t="s">
        <v>43</v>
      </c>
      <c r="AF5" s="63" t="s">
        <v>67</v>
      </c>
      <c r="AG5" s="138" t="s">
        <v>59</v>
      </c>
      <c r="AH5" s="218" t="s">
        <v>44</v>
      </c>
      <c r="AI5" s="219" t="str">
        <f t="shared" ref="AI5:AI68" si="3">IFERROR(IF(AH5="SI",VLOOKUP(A5,$C$4:$AL$151,15,FALSE),"-"),"Sin tramite")</f>
        <v>-</v>
      </c>
      <c r="AJ5" s="219" t="str">
        <f t="shared" ref="AJ5:AJ68" si="4">IFERROR(IF(AH5="SI",VLOOKUP(A5,$C$4:$AL$151,7,FALSE),"-"),"Sin HR")</f>
        <v>-</v>
      </c>
      <c r="AK5" s="219" t="str">
        <f t="shared" ref="AK5:AK68" si="5">IF(AH5="SI",IFERROR(IF(VLOOKUP(A5,$C$4:$AL$151,25,FALSE)="","Sin registro",VLOOKUP(A5,$C$4:$AL$151,25,FALSE)),"Sin registro"),"-")</f>
        <v>-</v>
      </c>
      <c r="AL5" s="225" t="str">
        <f t="shared" ref="AL5:AL68" si="6">IF(AH5="SI",IFERROR(IF(VLOOKUP(A5,$C$4:$AL$151,26,FALSE)="","Sin registro",VLOOKUP(A5,$C$4:$AL$151,26,FALSE)),"Sin registro"),"-")</f>
        <v>-</v>
      </c>
    </row>
    <row r="6" spans="1:38" ht="44.1" customHeight="1">
      <c r="A6" s="97" t="s">
        <v>68</v>
      </c>
      <c r="B6" s="37" t="str">
        <f t="shared" ca="1" si="0"/>
        <v>SI</v>
      </c>
      <c r="C6" s="165" t="s">
        <v>43</v>
      </c>
      <c r="D6" s="61" t="s">
        <v>44</v>
      </c>
      <c r="E6" s="61" t="s">
        <v>45</v>
      </c>
      <c r="F6" s="61" t="s">
        <v>61</v>
      </c>
      <c r="G6" s="167" t="s">
        <v>69</v>
      </c>
      <c r="H6" s="59" t="s">
        <v>70</v>
      </c>
      <c r="I6" s="62" t="s">
        <v>71</v>
      </c>
      <c r="J6" s="60" t="s">
        <v>72</v>
      </c>
      <c r="K6" s="62" t="s">
        <v>73</v>
      </c>
      <c r="L6" s="63" t="s">
        <v>74</v>
      </c>
      <c r="M6" s="63" t="s">
        <v>75</v>
      </c>
      <c r="N6" s="63" t="s">
        <v>76</v>
      </c>
      <c r="O6" s="64">
        <v>2315</v>
      </c>
      <c r="P6" s="120">
        <v>46125</v>
      </c>
      <c r="Q6" s="116" t="s">
        <v>54</v>
      </c>
      <c r="R6" s="159" t="s">
        <v>43</v>
      </c>
      <c r="S6" s="161" t="s">
        <v>43</v>
      </c>
      <c r="T6" s="68" t="str">
        <f ca="1">IFERROR(IF(OR(Q6="Ejecutado",Q6="No corresponde atención OGTI",Q6="Desistido",Q6="-",Q6="Para reformulación"),"-",IF(OR(S6="-",S6=""),"Falta fecha_estado",NETWORKDAYS(S6,TODAY(),{"02/04/2026";"03/04/2026";"30/06/2026"}))),"-")</f>
        <v>-</v>
      </c>
      <c r="U6" s="69" t="s">
        <v>77</v>
      </c>
      <c r="V6" s="162" t="s">
        <v>78</v>
      </c>
      <c r="W6" s="62">
        <v>46139</v>
      </c>
      <c r="X6" s="150" t="s">
        <v>79</v>
      </c>
      <c r="Y6" s="169" t="s">
        <v>75</v>
      </c>
      <c r="Z6" s="196" t="str">
        <f t="shared" ca="1" si="1"/>
        <v>Vigente</v>
      </c>
      <c r="AA6" s="173">
        <v>46141</v>
      </c>
      <c r="AB6" s="74">
        <v>46505</v>
      </c>
      <c r="AC6" s="157" t="str">
        <f>IFERROR(IF(OR(AA6="-",AA6="",AB6="-",AB6=""),"-",CONCATENATE('Seguimiento OIT'!AB6-'Seguimiento OIT'!AA6+1," dias")),"-")</f>
        <v>365 dias</v>
      </c>
      <c r="AD6" s="114" t="str">
        <f t="shared" ca="1" si="2"/>
        <v>-</v>
      </c>
      <c r="AE6" s="63" t="s">
        <v>43</v>
      </c>
      <c r="AF6" s="63" t="s">
        <v>80</v>
      </c>
      <c r="AG6" s="138" t="s">
        <v>81</v>
      </c>
      <c r="AH6" s="218" t="s">
        <v>44</v>
      </c>
      <c r="AI6" s="219" t="str">
        <f t="shared" si="3"/>
        <v>-</v>
      </c>
      <c r="AJ6" s="219" t="str">
        <f t="shared" si="4"/>
        <v>-</v>
      </c>
      <c r="AK6" s="219" t="str">
        <f t="shared" si="5"/>
        <v>-</v>
      </c>
      <c r="AL6" s="225" t="str">
        <f t="shared" si="6"/>
        <v>-</v>
      </c>
    </row>
    <row r="7" spans="1:38" ht="44.1" customHeight="1">
      <c r="A7" s="97" t="s">
        <v>82</v>
      </c>
      <c r="B7" s="37" t="str">
        <f t="shared" ca="1" si="0"/>
        <v>NO</v>
      </c>
      <c r="C7" s="165" t="s">
        <v>43</v>
      </c>
      <c r="D7" s="61" t="s">
        <v>44</v>
      </c>
      <c r="E7" s="61" t="s">
        <v>45</v>
      </c>
      <c r="F7" s="61" t="s">
        <v>61</v>
      </c>
      <c r="G7" s="167" t="s">
        <v>47</v>
      </c>
      <c r="H7" s="59" t="s">
        <v>83</v>
      </c>
      <c r="I7" s="62" t="s">
        <v>84</v>
      </c>
      <c r="J7" s="60" t="s">
        <v>85</v>
      </c>
      <c r="K7" s="62" t="s">
        <v>73</v>
      </c>
      <c r="L7" s="63" t="s">
        <v>74</v>
      </c>
      <c r="M7" s="63" t="s">
        <v>75</v>
      </c>
      <c r="N7" s="63" t="s">
        <v>76</v>
      </c>
      <c r="O7" s="64">
        <v>1490</v>
      </c>
      <c r="P7" s="120">
        <v>46125</v>
      </c>
      <c r="Q7" s="116" t="s">
        <v>54</v>
      </c>
      <c r="R7" s="159" t="s">
        <v>43</v>
      </c>
      <c r="S7" s="161" t="s">
        <v>43</v>
      </c>
      <c r="T7" s="68" t="str">
        <f ca="1">IFERROR(IF(OR(Q7="Ejecutado",Q7="No corresponde atención OGTI",Q7="Desistido",Q7="-",Q7="Para reformulación"),"-",IF(OR(S7="-",S7=""),"Falta fecha_estado",NETWORKDAYS(S7,TODAY(),{"02/04/2026";"03/04/2026";"30/06/2026"}))),"-")</f>
        <v>-</v>
      </c>
      <c r="U7" s="69" t="s">
        <v>55</v>
      </c>
      <c r="V7" s="162" t="s">
        <v>86</v>
      </c>
      <c r="W7" s="62">
        <v>46128</v>
      </c>
      <c r="X7" s="150" t="s">
        <v>87</v>
      </c>
      <c r="Y7" s="169" t="s">
        <v>75</v>
      </c>
      <c r="Z7" s="196" t="str">
        <f t="shared" ca="1" si="1"/>
        <v>Culminado</v>
      </c>
      <c r="AA7" s="173" t="s">
        <v>43</v>
      </c>
      <c r="AB7" s="74" t="s">
        <v>43</v>
      </c>
      <c r="AC7" s="157" t="str">
        <f>IFERROR(IF(OR(AA7="-",AA7="",AB7="-",AB7=""),"-",CONCATENATE('Seguimiento OIT'!AB7-'Seguimiento OIT'!AA7+1," dias")),"-")</f>
        <v>-</v>
      </c>
      <c r="AD7" s="114" t="str">
        <f t="shared" ca="1" si="2"/>
        <v>-</v>
      </c>
      <c r="AE7" s="63" t="s">
        <v>43</v>
      </c>
      <c r="AF7" s="63" t="s">
        <v>88</v>
      </c>
      <c r="AG7" s="138" t="s">
        <v>89</v>
      </c>
      <c r="AH7" s="218" t="s">
        <v>44</v>
      </c>
      <c r="AI7" s="219" t="str">
        <f t="shared" si="3"/>
        <v>-</v>
      </c>
      <c r="AJ7" s="219" t="str">
        <f t="shared" si="4"/>
        <v>-</v>
      </c>
      <c r="AK7" s="219" t="str">
        <f t="shared" si="5"/>
        <v>-</v>
      </c>
      <c r="AL7" s="225" t="str">
        <f t="shared" si="6"/>
        <v>-</v>
      </c>
    </row>
    <row r="8" spans="1:38" ht="44.1" customHeight="1">
      <c r="A8" s="97" t="s">
        <v>90</v>
      </c>
      <c r="B8" s="37" t="str">
        <f t="shared" ca="1" si="0"/>
        <v>NO</v>
      </c>
      <c r="C8" s="165" t="s">
        <v>43</v>
      </c>
      <c r="D8" s="61" t="s">
        <v>44</v>
      </c>
      <c r="E8" s="61" t="s">
        <v>45</v>
      </c>
      <c r="F8" s="61" t="s">
        <v>61</v>
      </c>
      <c r="G8" s="167" t="s">
        <v>47</v>
      </c>
      <c r="H8" s="60" t="s">
        <v>91</v>
      </c>
      <c r="I8" s="62" t="s">
        <v>92</v>
      </c>
      <c r="J8" s="60" t="s">
        <v>93</v>
      </c>
      <c r="K8" s="62" t="s">
        <v>73</v>
      </c>
      <c r="L8" s="63" t="s">
        <v>74</v>
      </c>
      <c r="M8" s="63" t="s">
        <v>75</v>
      </c>
      <c r="N8" s="63" t="s">
        <v>94</v>
      </c>
      <c r="O8" s="64">
        <v>23529.29</v>
      </c>
      <c r="P8" s="120">
        <v>46086</v>
      </c>
      <c r="Q8" s="116" t="s">
        <v>54</v>
      </c>
      <c r="R8" s="159" t="s">
        <v>43</v>
      </c>
      <c r="S8" s="161" t="s">
        <v>43</v>
      </c>
      <c r="T8" s="68" t="str">
        <f ca="1">IFERROR(IF(OR(Q8="Ejecutado",Q8="No corresponde atención OGTI",Q8="Desistido",Q8="-",Q8="Para reformulación"),"-",IF(OR(S8="-",S8=""),"Falta fecha_estado",NETWORKDAYS(S8,TODAY(),{"02/04/2026";"03/04/2026";"30/06/2026"}))),"-")</f>
        <v>-</v>
      </c>
      <c r="U8" s="69" t="s">
        <v>55</v>
      </c>
      <c r="V8" s="162" t="s">
        <v>95</v>
      </c>
      <c r="W8" s="62">
        <v>46107</v>
      </c>
      <c r="X8" s="150" t="s">
        <v>96</v>
      </c>
      <c r="Y8" s="169" t="s">
        <v>74</v>
      </c>
      <c r="Z8" s="196" t="str">
        <f t="shared" ca="1" si="1"/>
        <v>Culminado</v>
      </c>
      <c r="AA8" s="173" t="s">
        <v>43</v>
      </c>
      <c r="AB8" s="74" t="s">
        <v>43</v>
      </c>
      <c r="AC8" s="157" t="str">
        <f>IFERROR(IF(OR(AA8="-",AA8="",AB8="-",AB8=""),"-",CONCATENATE('Seguimiento OIT'!AB8-'Seguimiento OIT'!AA8+1," dias")),"-")</f>
        <v>-</v>
      </c>
      <c r="AD8" s="114" t="str">
        <f t="shared" ca="1" si="2"/>
        <v>-</v>
      </c>
      <c r="AE8" s="63" t="s">
        <v>43</v>
      </c>
      <c r="AF8" s="63" t="s">
        <v>97</v>
      </c>
      <c r="AG8" s="138" t="s">
        <v>98</v>
      </c>
      <c r="AH8" s="218" t="s">
        <v>44</v>
      </c>
      <c r="AI8" s="219" t="str">
        <f t="shared" si="3"/>
        <v>-</v>
      </c>
      <c r="AJ8" s="219" t="str">
        <f t="shared" si="4"/>
        <v>-</v>
      </c>
      <c r="AK8" s="219" t="str">
        <f t="shared" si="5"/>
        <v>-</v>
      </c>
      <c r="AL8" s="225" t="str">
        <f t="shared" si="6"/>
        <v>-</v>
      </c>
    </row>
    <row r="9" spans="1:38" ht="44.1" customHeight="1">
      <c r="A9" s="97" t="s">
        <v>99</v>
      </c>
      <c r="B9" s="37" t="str">
        <f t="shared" ca="1" si="0"/>
        <v>NO</v>
      </c>
      <c r="C9" s="165" t="s">
        <v>43</v>
      </c>
      <c r="D9" s="61" t="s">
        <v>44</v>
      </c>
      <c r="E9" s="61" t="s">
        <v>45</v>
      </c>
      <c r="F9" s="61" t="s">
        <v>61</v>
      </c>
      <c r="G9" s="167" t="s">
        <v>47</v>
      </c>
      <c r="H9" s="60" t="s">
        <v>100</v>
      </c>
      <c r="I9" s="62" t="s">
        <v>101</v>
      </c>
      <c r="J9" s="60" t="s">
        <v>93</v>
      </c>
      <c r="K9" s="62" t="s">
        <v>73</v>
      </c>
      <c r="L9" s="63" t="s">
        <v>74</v>
      </c>
      <c r="M9" s="63" t="s">
        <v>75</v>
      </c>
      <c r="N9" s="63" t="s">
        <v>102</v>
      </c>
      <c r="O9" s="64">
        <v>22956.19</v>
      </c>
      <c r="P9" s="120">
        <v>46064</v>
      </c>
      <c r="Q9" s="116" t="s">
        <v>54</v>
      </c>
      <c r="R9" s="159" t="s">
        <v>43</v>
      </c>
      <c r="S9" s="161" t="s">
        <v>43</v>
      </c>
      <c r="T9" s="68" t="str">
        <f ca="1">IFERROR(IF(OR(Q9="Ejecutado",Q9="No corresponde atención OGTI",Q9="Desistido",Q9="-",Q9="Para reformulación"),"-",IF(OR(S9="-",S9=""),"Falta fecha_estado",NETWORKDAYS(S9,TODAY(),{"02/04/2026";"03/04/2026";"30/06/2026"}))),"-")</f>
        <v>-</v>
      </c>
      <c r="U9" s="69" t="s">
        <v>55</v>
      </c>
      <c r="V9" s="162" t="s">
        <v>103</v>
      </c>
      <c r="W9" s="62">
        <v>46083</v>
      </c>
      <c r="X9" s="150" t="s">
        <v>96</v>
      </c>
      <c r="Y9" s="169" t="s">
        <v>74</v>
      </c>
      <c r="Z9" s="196" t="str">
        <f t="shared" ca="1" si="1"/>
        <v>Culminado</v>
      </c>
      <c r="AA9" s="173" t="s">
        <v>43</v>
      </c>
      <c r="AB9" s="74" t="s">
        <v>43</v>
      </c>
      <c r="AC9" s="157" t="str">
        <f>IFERROR(IF(OR(AA9="-",AA9="",AB9="-",AB9=""),"-",CONCATENATE('Seguimiento OIT'!AB9-'Seguimiento OIT'!AA9+1," dias")),"-")</f>
        <v>-</v>
      </c>
      <c r="AD9" s="114" t="str">
        <f t="shared" ca="1" si="2"/>
        <v>-</v>
      </c>
      <c r="AE9" s="63" t="s">
        <v>43</v>
      </c>
      <c r="AF9" s="63" t="s">
        <v>104</v>
      </c>
      <c r="AG9" s="138" t="s">
        <v>105</v>
      </c>
      <c r="AH9" s="218" t="s">
        <v>44</v>
      </c>
      <c r="AI9" s="219" t="str">
        <f t="shared" si="3"/>
        <v>-</v>
      </c>
      <c r="AJ9" s="219" t="str">
        <f t="shared" si="4"/>
        <v>-</v>
      </c>
      <c r="AK9" s="219" t="str">
        <f t="shared" si="5"/>
        <v>-</v>
      </c>
      <c r="AL9" s="225" t="str">
        <f t="shared" si="6"/>
        <v>-</v>
      </c>
    </row>
    <row r="10" spans="1:38" ht="44.1" customHeight="1">
      <c r="A10" s="97" t="s">
        <v>106</v>
      </c>
      <c r="B10" s="37" t="str">
        <f t="shared" ca="1" si="0"/>
        <v>SI</v>
      </c>
      <c r="C10" s="165" t="s">
        <v>43</v>
      </c>
      <c r="D10" s="61" t="s">
        <v>44</v>
      </c>
      <c r="E10" s="61" t="s">
        <v>45</v>
      </c>
      <c r="F10" s="61" t="s">
        <v>61</v>
      </c>
      <c r="G10" s="167" t="s">
        <v>69</v>
      </c>
      <c r="H10" s="60" t="s">
        <v>107</v>
      </c>
      <c r="I10" s="62" t="s">
        <v>108</v>
      </c>
      <c r="J10" s="60" t="s">
        <v>109</v>
      </c>
      <c r="K10" s="62" t="s">
        <v>73</v>
      </c>
      <c r="L10" s="63" t="s">
        <v>74</v>
      </c>
      <c r="M10" s="63" t="s">
        <v>75</v>
      </c>
      <c r="N10" s="63" t="s">
        <v>110</v>
      </c>
      <c r="O10" s="64">
        <v>5445.7</v>
      </c>
      <c r="P10" s="120">
        <v>46103</v>
      </c>
      <c r="Q10" s="116" t="s">
        <v>54</v>
      </c>
      <c r="R10" s="159" t="s">
        <v>43</v>
      </c>
      <c r="S10" s="161" t="s">
        <v>43</v>
      </c>
      <c r="T10" s="68" t="str">
        <f ca="1">IFERROR(IF(OR(Q10="Ejecutado",Q10="No corresponde atención OGTI",Q10="Desistido",Q10="-",Q10="Para reformulación"),"-",IF(OR(S10="-",S10=""),"Falta fecha_estado",NETWORKDAYS(S10,TODAY(),{"02/04/2026";"03/04/2026";"30/06/2026"}))),"-")</f>
        <v>-</v>
      </c>
      <c r="U10" s="69" t="s">
        <v>77</v>
      </c>
      <c r="V10" s="162" t="s">
        <v>111</v>
      </c>
      <c r="W10" s="62">
        <v>46125</v>
      </c>
      <c r="X10" s="150" t="s">
        <v>112</v>
      </c>
      <c r="Y10" s="169" t="s">
        <v>74</v>
      </c>
      <c r="Z10" s="196" t="str">
        <f t="shared" ca="1" si="1"/>
        <v>Vigente</v>
      </c>
      <c r="AA10" s="173">
        <v>46147</v>
      </c>
      <c r="AB10" s="74">
        <v>46330</v>
      </c>
      <c r="AC10" s="157" t="str">
        <f>IFERROR(IF(OR(AA10="-",AA10="",AB10="-",AB10=""),"-",CONCATENATE('Seguimiento OIT'!AB10-'Seguimiento OIT'!AA10+1," dias")),"-")</f>
        <v>184 dias</v>
      </c>
      <c r="AD10" s="114" t="str">
        <f t="shared" ca="1" si="2"/>
        <v>-</v>
      </c>
      <c r="AE10" s="63" t="s">
        <v>43</v>
      </c>
      <c r="AF10" s="63" t="s">
        <v>113</v>
      </c>
      <c r="AG10" s="138" t="s">
        <v>114</v>
      </c>
      <c r="AH10" s="218" t="s">
        <v>44</v>
      </c>
      <c r="AI10" s="219" t="str">
        <f t="shared" si="3"/>
        <v>-</v>
      </c>
      <c r="AJ10" s="219" t="str">
        <f t="shared" si="4"/>
        <v>-</v>
      </c>
      <c r="AK10" s="219" t="str">
        <f t="shared" si="5"/>
        <v>-</v>
      </c>
      <c r="AL10" s="225" t="str">
        <f t="shared" si="6"/>
        <v>-</v>
      </c>
    </row>
    <row r="11" spans="1:38" ht="44.1" customHeight="1">
      <c r="A11" s="97" t="s">
        <v>115</v>
      </c>
      <c r="B11" s="37" t="str">
        <f t="shared" ca="1" si="0"/>
        <v>SI</v>
      </c>
      <c r="C11" s="165" t="s">
        <v>43</v>
      </c>
      <c r="D11" s="61" t="s">
        <v>44</v>
      </c>
      <c r="E11" s="61" t="s">
        <v>45</v>
      </c>
      <c r="F11" s="61" t="s">
        <v>46</v>
      </c>
      <c r="G11" s="167" t="s">
        <v>69</v>
      </c>
      <c r="H11" s="60" t="s">
        <v>116</v>
      </c>
      <c r="I11" s="62" t="s">
        <v>117</v>
      </c>
      <c r="J11" s="60" t="s">
        <v>118</v>
      </c>
      <c r="K11" s="62" t="s">
        <v>119</v>
      </c>
      <c r="L11" s="63" t="s">
        <v>120</v>
      </c>
      <c r="M11" s="63" t="s">
        <v>75</v>
      </c>
      <c r="N11" s="63" t="s">
        <v>121</v>
      </c>
      <c r="O11" s="64">
        <v>43764.05</v>
      </c>
      <c r="P11" s="120">
        <v>46073</v>
      </c>
      <c r="Q11" s="116" t="s">
        <v>54</v>
      </c>
      <c r="R11" s="159" t="s">
        <v>43</v>
      </c>
      <c r="S11" s="161" t="s">
        <v>43</v>
      </c>
      <c r="T11" s="68" t="str">
        <f ca="1">IFERROR(IF(OR(Q11="Ejecutado",Q11="No corresponde atención OGTI",Q11="Desistido",Q11="-",Q11="Para reformulación"),"-",IF(OR(S11="-",S11=""),"Falta fecha_estado",NETWORKDAYS(S11,TODAY(),{"02/04/2026";"03/04/2026";"30/06/2026"}))),"-")</f>
        <v>-</v>
      </c>
      <c r="U11" s="69" t="s">
        <v>77</v>
      </c>
      <c r="V11" s="162" t="s">
        <v>122</v>
      </c>
      <c r="W11" s="62">
        <v>46099</v>
      </c>
      <c r="X11" s="150" t="s">
        <v>123</v>
      </c>
      <c r="Y11" s="169" t="s">
        <v>120</v>
      </c>
      <c r="Z11" s="196" t="str">
        <f t="shared" ca="1" si="1"/>
        <v>Vigente</v>
      </c>
      <c r="AA11" s="173">
        <v>46104</v>
      </c>
      <c r="AB11" s="74">
        <v>46468</v>
      </c>
      <c r="AC11" s="157" t="str">
        <f>IFERROR(IF(OR(AA11="-",AA11="",AB11="-",AB11=""),"-",CONCATENATE('Seguimiento OIT'!AB11-'Seguimiento OIT'!AA11+1," dias")),"-")</f>
        <v>365 dias</v>
      </c>
      <c r="AD11" s="114" t="str">
        <f t="shared" ca="1" si="2"/>
        <v>-</v>
      </c>
      <c r="AE11" s="63" t="s">
        <v>43</v>
      </c>
      <c r="AF11" s="63" t="s">
        <v>124</v>
      </c>
      <c r="AG11" s="138" t="s">
        <v>125</v>
      </c>
      <c r="AH11" s="218" t="s">
        <v>44</v>
      </c>
      <c r="AI11" s="219" t="str">
        <f t="shared" si="3"/>
        <v>-</v>
      </c>
      <c r="AJ11" s="219" t="str">
        <f t="shared" si="4"/>
        <v>-</v>
      </c>
      <c r="AK11" s="219" t="str">
        <f t="shared" si="5"/>
        <v>-</v>
      </c>
      <c r="AL11" s="225" t="str">
        <f t="shared" si="6"/>
        <v>-</v>
      </c>
    </row>
    <row r="12" spans="1:38" ht="44.1" customHeight="1">
      <c r="A12" s="97" t="s">
        <v>126</v>
      </c>
      <c r="B12" s="37" t="str">
        <f t="shared" ca="1" si="0"/>
        <v>SI</v>
      </c>
      <c r="C12" s="165" t="s">
        <v>43</v>
      </c>
      <c r="D12" s="61" t="s">
        <v>44</v>
      </c>
      <c r="E12" s="61" t="s">
        <v>45</v>
      </c>
      <c r="F12" s="61" t="s">
        <v>61</v>
      </c>
      <c r="G12" s="167" t="s">
        <v>69</v>
      </c>
      <c r="H12" s="60" t="s">
        <v>127</v>
      </c>
      <c r="I12" s="62" t="s">
        <v>128</v>
      </c>
      <c r="J12" s="60" t="s">
        <v>129</v>
      </c>
      <c r="K12" s="62" t="s">
        <v>119</v>
      </c>
      <c r="L12" s="63" t="s">
        <v>120</v>
      </c>
      <c r="M12" s="63" t="s">
        <v>75</v>
      </c>
      <c r="N12" s="63" t="s">
        <v>130</v>
      </c>
      <c r="O12" s="64">
        <v>1899.16</v>
      </c>
      <c r="P12" s="120">
        <v>46073</v>
      </c>
      <c r="Q12" s="116" t="s">
        <v>54</v>
      </c>
      <c r="R12" s="159" t="s">
        <v>43</v>
      </c>
      <c r="S12" s="161" t="s">
        <v>43</v>
      </c>
      <c r="T12" s="68" t="str">
        <f ca="1">IFERROR(IF(OR(Q12="Ejecutado",Q12="No corresponde atención OGTI",Q12="Desistido",Q12="-",Q12="Para reformulación"),"-",IF(OR(S12="-",S12=""),"Falta fecha_estado",NETWORKDAYS(S12,TODAY(),{"02/04/2026";"03/04/2026";"30/06/2026"}))),"-")</f>
        <v>-</v>
      </c>
      <c r="U12" s="69" t="s">
        <v>77</v>
      </c>
      <c r="V12" s="162" t="s">
        <v>131</v>
      </c>
      <c r="W12" s="62">
        <v>46101</v>
      </c>
      <c r="X12" s="150" t="s">
        <v>123</v>
      </c>
      <c r="Y12" s="169" t="s">
        <v>120</v>
      </c>
      <c r="Z12" s="196" t="str">
        <f t="shared" ca="1" si="1"/>
        <v>Vigente</v>
      </c>
      <c r="AA12" s="173">
        <v>46106</v>
      </c>
      <c r="AB12" s="74">
        <v>46470</v>
      </c>
      <c r="AC12" s="157" t="str">
        <f>IFERROR(IF(OR(AA12="-",AA12="",AB12="-",AB12=""),"-",CONCATENATE('Seguimiento OIT'!AB12-'Seguimiento OIT'!AA12+1," dias")),"-")</f>
        <v>365 dias</v>
      </c>
      <c r="AD12" s="114" t="str">
        <f t="shared" ca="1" si="2"/>
        <v>-</v>
      </c>
      <c r="AE12" s="63" t="s">
        <v>43</v>
      </c>
      <c r="AF12" s="63" t="s">
        <v>132</v>
      </c>
      <c r="AG12" s="138" t="s">
        <v>125</v>
      </c>
      <c r="AH12" s="218" t="s">
        <v>44</v>
      </c>
      <c r="AI12" s="219" t="str">
        <f t="shared" si="3"/>
        <v>-</v>
      </c>
      <c r="AJ12" s="219" t="str">
        <f t="shared" si="4"/>
        <v>-</v>
      </c>
      <c r="AK12" s="219" t="str">
        <f t="shared" si="5"/>
        <v>-</v>
      </c>
      <c r="AL12" s="225" t="str">
        <f t="shared" si="6"/>
        <v>-</v>
      </c>
    </row>
    <row r="13" spans="1:38" ht="44.1" customHeight="1">
      <c r="A13" s="97" t="s">
        <v>133</v>
      </c>
      <c r="B13" s="37" t="str">
        <f t="shared" ca="1" si="0"/>
        <v>NO</v>
      </c>
      <c r="C13" s="165" t="s">
        <v>43</v>
      </c>
      <c r="D13" s="61" t="s">
        <v>44</v>
      </c>
      <c r="E13" s="61" t="s">
        <v>45</v>
      </c>
      <c r="F13" s="61" t="s">
        <v>61</v>
      </c>
      <c r="G13" s="167" t="s">
        <v>47</v>
      </c>
      <c r="H13" s="60" t="s">
        <v>134</v>
      </c>
      <c r="I13" s="62" t="s">
        <v>135</v>
      </c>
      <c r="J13" s="60" t="s">
        <v>136</v>
      </c>
      <c r="K13" s="62" t="s">
        <v>73</v>
      </c>
      <c r="L13" s="63" t="s">
        <v>74</v>
      </c>
      <c r="M13" s="63" t="s">
        <v>75</v>
      </c>
      <c r="N13" s="63" t="s">
        <v>137</v>
      </c>
      <c r="O13" s="64">
        <v>33330.5</v>
      </c>
      <c r="P13" s="120">
        <v>46133</v>
      </c>
      <c r="Q13" s="116" t="s">
        <v>54</v>
      </c>
      <c r="R13" s="159" t="s">
        <v>43</v>
      </c>
      <c r="S13" s="161" t="s">
        <v>43</v>
      </c>
      <c r="T13" s="68" t="str">
        <f ca="1">IFERROR(IF(OR(Q13="Ejecutado",Q13="No corresponde atención OGTI",Q13="Desistido",Q13="-",Q13="Para reformulación"),"-",IF(OR(S13="-",S13=""),"Falta fecha_estado",NETWORKDAYS(S13,TODAY(),{"02/04/2026";"03/04/2026";"30/06/2026"}))),"-")</f>
        <v>-</v>
      </c>
      <c r="U13" s="69" t="s">
        <v>55</v>
      </c>
      <c r="V13" s="162" t="s">
        <v>138</v>
      </c>
      <c r="W13" s="62">
        <v>46167</v>
      </c>
      <c r="X13" s="150" t="s">
        <v>139</v>
      </c>
      <c r="Y13" s="169" t="s">
        <v>74</v>
      </c>
      <c r="Z13" s="196" t="str">
        <f t="shared" ca="1" si="1"/>
        <v>Culminado</v>
      </c>
      <c r="AA13" s="173" t="s">
        <v>43</v>
      </c>
      <c r="AB13" s="74" t="s">
        <v>43</v>
      </c>
      <c r="AC13" s="157" t="str">
        <f>IFERROR(IF(OR(AA13="-",AA13="",AB13="-",AB13=""),"-",CONCATENATE('Seguimiento OIT'!AB13-'Seguimiento OIT'!AA13+1," dias")),"-")</f>
        <v>-</v>
      </c>
      <c r="AD13" s="114" t="str">
        <f t="shared" ca="1" si="2"/>
        <v>-</v>
      </c>
      <c r="AE13" s="63" t="s">
        <v>43</v>
      </c>
      <c r="AF13" s="63" t="s">
        <v>140</v>
      </c>
      <c r="AG13" s="138" t="s">
        <v>141</v>
      </c>
      <c r="AH13" s="218" t="s">
        <v>44</v>
      </c>
      <c r="AI13" s="219" t="str">
        <f t="shared" si="3"/>
        <v>-</v>
      </c>
      <c r="AJ13" s="219" t="str">
        <f t="shared" si="4"/>
        <v>-</v>
      </c>
      <c r="AK13" s="219" t="str">
        <f t="shared" si="5"/>
        <v>-</v>
      </c>
      <c r="AL13" s="225" t="str">
        <f t="shared" si="6"/>
        <v>-</v>
      </c>
    </row>
    <row r="14" spans="1:38" ht="44.1" customHeight="1">
      <c r="A14" s="97" t="s">
        <v>142</v>
      </c>
      <c r="B14" s="37" t="str">
        <f t="shared" ca="1" si="0"/>
        <v>NO</v>
      </c>
      <c r="C14" s="165" t="s">
        <v>43</v>
      </c>
      <c r="D14" s="61" t="s">
        <v>44</v>
      </c>
      <c r="E14" s="61" t="s">
        <v>45</v>
      </c>
      <c r="F14" s="61" t="s">
        <v>61</v>
      </c>
      <c r="G14" s="167" t="s">
        <v>47</v>
      </c>
      <c r="H14" s="60" t="s">
        <v>143</v>
      </c>
      <c r="I14" s="62" t="s">
        <v>144</v>
      </c>
      <c r="J14" s="60" t="s">
        <v>145</v>
      </c>
      <c r="K14" s="62" t="s">
        <v>73</v>
      </c>
      <c r="L14" s="63" t="s">
        <v>74</v>
      </c>
      <c r="M14" s="63" t="s">
        <v>75</v>
      </c>
      <c r="N14" s="63" t="s">
        <v>137</v>
      </c>
      <c r="O14" s="64">
        <v>33211.050000000003</v>
      </c>
      <c r="P14" s="120">
        <v>46090</v>
      </c>
      <c r="Q14" s="116" t="s">
        <v>54</v>
      </c>
      <c r="R14" s="159" t="s">
        <v>43</v>
      </c>
      <c r="S14" s="161" t="s">
        <v>43</v>
      </c>
      <c r="T14" s="68" t="str">
        <f ca="1">IFERROR(IF(OR(Q14="Ejecutado",Q14="No corresponde atención OGTI",Q14="Desistido",Q14="-",Q14="Para reformulación"),"-",IF(OR(S14="-",S14=""),"Falta fecha_estado",NETWORKDAYS(S14,TODAY(),{"02/04/2026";"03/04/2026";"30/06/2026"}))),"-")</f>
        <v>-</v>
      </c>
      <c r="U14" s="69" t="s">
        <v>55</v>
      </c>
      <c r="V14" s="162" t="s">
        <v>146</v>
      </c>
      <c r="W14" s="62">
        <v>46148</v>
      </c>
      <c r="X14" s="150" t="s">
        <v>147</v>
      </c>
      <c r="Y14" s="169" t="s">
        <v>74</v>
      </c>
      <c r="Z14" s="196" t="str">
        <f t="shared" ca="1" si="1"/>
        <v>Culminado</v>
      </c>
      <c r="AA14" s="173" t="s">
        <v>43</v>
      </c>
      <c r="AB14" s="74" t="s">
        <v>43</v>
      </c>
      <c r="AC14" s="157" t="str">
        <f>IFERROR(IF(OR(AA14="-",AA14="",AB14="-",AB14=""),"-",CONCATENATE('Seguimiento OIT'!AB14-'Seguimiento OIT'!AA14+1," dias")),"-")</f>
        <v>-</v>
      </c>
      <c r="AD14" s="114" t="str">
        <f t="shared" ca="1" si="2"/>
        <v>-</v>
      </c>
      <c r="AE14" s="63" t="s">
        <v>43</v>
      </c>
      <c r="AF14" s="63" t="s">
        <v>148</v>
      </c>
      <c r="AG14" s="138" t="s">
        <v>149</v>
      </c>
      <c r="AH14" s="218" t="s">
        <v>44</v>
      </c>
      <c r="AI14" s="219" t="str">
        <f t="shared" si="3"/>
        <v>-</v>
      </c>
      <c r="AJ14" s="219" t="str">
        <f t="shared" si="4"/>
        <v>-</v>
      </c>
      <c r="AK14" s="219" t="str">
        <f t="shared" si="5"/>
        <v>-</v>
      </c>
      <c r="AL14" s="225" t="str">
        <f t="shared" si="6"/>
        <v>-</v>
      </c>
    </row>
    <row r="15" spans="1:38" ht="44.1" customHeight="1">
      <c r="A15" s="97" t="s">
        <v>150</v>
      </c>
      <c r="B15" s="37" t="str">
        <f t="shared" ca="1" si="0"/>
        <v>SI</v>
      </c>
      <c r="C15" s="165" t="s">
        <v>43</v>
      </c>
      <c r="D15" s="61" t="s">
        <v>44</v>
      </c>
      <c r="E15" s="61" t="s">
        <v>45</v>
      </c>
      <c r="F15" s="61" t="s">
        <v>46</v>
      </c>
      <c r="G15" s="167" t="s">
        <v>69</v>
      </c>
      <c r="H15" s="60" t="s">
        <v>151</v>
      </c>
      <c r="I15" s="62" t="s">
        <v>152</v>
      </c>
      <c r="J15" s="60" t="s">
        <v>153</v>
      </c>
      <c r="K15" s="62" t="s">
        <v>119</v>
      </c>
      <c r="L15" s="63" t="s">
        <v>120</v>
      </c>
      <c r="M15" s="63" t="s">
        <v>75</v>
      </c>
      <c r="N15" s="63" t="s">
        <v>154</v>
      </c>
      <c r="O15" s="64">
        <v>13650</v>
      </c>
      <c r="P15" s="120">
        <v>46153</v>
      </c>
      <c r="Q15" s="116" t="s">
        <v>54</v>
      </c>
      <c r="R15" s="159" t="s">
        <v>43</v>
      </c>
      <c r="S15" s="161" t="s">
        <v>43</v>
      </c>
      <c r="T15" s="68" t="str">
        <f ca="1">IFERROR(IF(OR(Q15="Ejecutado",Q15="No corresponde atención OGTI",Q15="Desistido",Q15="-",Q15="Para reformulación"),"-",IF(OR(S15="-",S15=""),"Falta fecha_estado",NETWORKDAYS(S15,TODAY(),{"02/04/2026";"03/04/2026";"30/06/2026"}))),"-")</f>
        <v>-</v>
      </c>
      <c r="U15" s="69" t="s">
        <v>77</v>
      </c>
      <c r="V15" s="162" t="s">
        <v>155</v>
      </c>
      <c r="W15" s="62">
        <v>46163</v>
      </c>
      <c r="X15" s="150" t="s">
        <v>156</v>
      </c>
      <c r="Y15" s="169" t="s">
        <v>120</v>
      </c>
      <c r="Z15" s="196" t="str">
        <f t="shared" ca="1" si="1"/>
        <v>Vigente</v>
      </c>
      <c r="AA15" s="173">
        <v>46167</v>
      </c>
      <c r="AB15" s="74">
        <v>46531</v>
      </c>
      <c r="AC15" s="157" t="str">
        <f>IFERROR(IF(OR(AA15="-",AA15="",AB15="-",AB15=""),"-",CONCATENATE('Seguimiento OIT'!AB15-'Seguimiento OIT'!AA15+1," dias")),"-")</f>
        <v>365 dias</v>
      </c>
      <c r="AD15" s="114" t="str">
        <f t="shared" ca="1" si="2"/>
        <v>-</v>
      </c>
      <c r="AE15" s="63" t="s">
        <v>43</v>
      </c>
      <c r="AF15" s="63" t="s">
        <v>157</v>
      </c>
      <c r="AG15" s="138" t="s">
        <v>158</v>
      </c>
      <c r="AH15" s="218" t="s">
        <v>44</v>
      </c>
      <c r="AI15" s="219" t="str">
        <f t="shared" si="3"/>
        <v>-</v>
      </c>
      <c r="AJ15" s="219" t="str">
        <f t="shared" si="4"/>
        <v>-</v>
      </c>
      <c r="AK15" s="219" t="str">
        <f t="shared" si="5"/>
        <v>-</v>
      </c>
      <c r="AL15" s="225" t="str">
        <f t="shared" si="6"/>
        <v>-</v>
      </c>
    </row>
    <row r="16" spans="1:38" ht="44.1" customHeight="1">
      <c r="A16" s="97" t="s">
        <v>159</v>
      </c>
      <c r="B16" s="37" t="str">
        <f t="shared" ca="1" si="0"/>
        <v>NO</v>
      </c>
      <c r="C16" s="165" t="s">
        <v>43</v>
      </c>
      <c r="D16" s="61" t="s">
        <v>44</v>
      </c>
      <c r="E16" s="61" t="s">
        <v>45</v>
      </c>
      <c r="F16" s="61" t="s">
        <v>61</v>
      </c>
      <c r="G16" s="167" t="s">
        <v>47</v>
      </c>
      <c r="H16" s="60" t="s">
        <v>160</v>
      </c>
      <c r="I16" s="62" t="s">
        <v>161</v>
      </c>
      <c r="J16" s="60" t="s">
        <v>162</v>
      </c>
      <c r="K16" s="62" t="s">
        <v>73</v>
      </c>
      <c r="L16" s="63" t="s">
        <v>74</v>
      </c>
      <c r="M16" s="63" t="s">
        <v>75</v>
      </c>
      <c r="N16" s="63" t="s">
        <v>110</v>
      </c>
      <c r="O16" s="64">
        <v>660</v>
      </c>
      <c r="P16" s="120">
        <v>46164</v>
      </c>
      <c r="Q16" s="116" t="s">
        <v>54</v>
      </c>
      <c r="R16" s="159" t="s">
        <v>43</v>
      </c>
      <c r="S16" s="161" t="s">
        <v>43</v>
      </c>
      <c r="T16" s="68" t="str">
        <f ca="1">IFERROR(IF(OR(Q16="Ejecutado",Q16="No corresponde atención OGTI",Q16="Desistido",Q16="-",Q16="Para reformulación"),"-",IF(OR(S16="-",S16=""),"Falta fecha_estado",NETWORKDAYS(S16,TODAY(),{"02/04/2026";"03/04/2026";"30/06/2026"}))),"-")</f>
        <v>-</v>
      </c>
      <c r="U16" s="69" t="s">
        <v>55</v>
      </c>
      <c r="V16" s="162" t="s">
        <v>163</v>
      </c>
      <c r="W16" s="62">
        <v>46176</v>
      </c>
      <c r="X16" s="150" t="s">
        <v>139</v>
      </c>
      <c r="Y16" s="169" t="s">
        <v>74</v>
      </c>
      <c r="Z16" s="196" t="str">
        <f t="shared" ca="1" si="1"/>
        <v>Culminado</v>
      </c>
      <c r="AA16" s="173" t="s">
        <v>43</v>
      </c>
      <c r="AB16" s="74" t="s">
        <v>43</v>
      </c>
      <c r="AC16" s="157" t="str">
        <f>IFERROR(IF(OR(AA16="-",AA16="",AB16="-",AB16=""),"-",CONCATENATE('Seguimiento OIT'!AB16-'Seguimiento OIT'!AA16+1," dias")),"-")</f>
        <v>-</v>
      </c>
      <c r="AD16" s="114" t="str">
        <f t="shared" ca="1" si="2"/>
        <v>-</v>
      </c>
      <c r="AE16" s="63" t="s">
        <v>43</v>
      </c>
      <c r="AF16" s="63" t="s">
        <v>164</v>
      </c>
      <c r="AG16" s="138" t="s">
        <v>165</v>
      </c>
      <c r="AH16" s="218" t="s">
        <v>44</v>
      </c>
      <c r="AI16" s="219" t="str">
        <f t="shared" si="3"/>
        <v>-</v>
      </c>
      <c r="AJ16" s="219" t="str">
        <f t="shared" si="4"/>
        <v>-</v>
      </c>
      <c r="AK16" s="219" t="str">
        <f t="shared" si="5"/>
        <v>-</v>
      </c>
      <c r="AL16" s="225" t="str">
        <f t="shared" si="6"/>
        <v>-</v>
      </c>
    </row>
    <row r="17" spans="1:38" ht="44.1" customHeight="1">
      <c r="A17" s="97" t="s">
        <v>166</v>
      </c>
      <c r="B17" s="37" t="str">
        <f t="shared" ca="1" si="0"/>
        <v>NO</v>
      </c>
      <c r="C17" s="165" t="s">
        <v>43</v>
      </c>
      <c r="D17" s="61" t="s">
        <v>44</v>
      </c>
      <c r="E17" s="61" t="s">
        <v>45</v>
      </c>
      <c r="F17" s="61" t="s">
        <v>61</v>
      </c>
      <c r="G17" s="167" t="s">
        <v>47</v>
      </c>
      <c r="H17" s="60" t="s">
        <v>167</v>
      </c>
      <c r="I17" s="62" t="s">
        <v>168</v>
      </c>
      <c r="J17" s="60" t="s">
        <v>169</v>
      </c>
      <c r="K17" s="62" t="s">
        <v>73</v>
      </c>
      <c r="L17" s="63" t="s">
        <v>74</v>
      </c>
      <c r="M17" s="63" t="s">
        <v>75</v>
      </c>
      <c r="N17" s="63" t="s">
        <v>170</v>
      </c>
      <c r="O17" s="64">
        <v>330</v>
      </c>
      <c r="P17" s="120">
        <v>46164</v>
      </c>
      <c r="Q17" s="116" t="s">
        <v>54</v>
      </c>
      <c r="R17" s="159" t="s">
        <v>43</v>
      </c>
      <c r="S17" s="161" t="s">
        <v>43</v>
      </c>
      <c r="T17" s="68" t="str">
        <f ca="1">IFERROR(IF(OR(Q17="Ejecutado",Q17="No corresponde atención OGTI",Q17="Desistido",Q17="-",Q17="Para reformulación"),"-",IF(OR(S17="-",S17=""),"Falta fecha_estado",NETWORKDAYS(S17,TODAY(),{"02/04/2026";"03/04/2026";"30/06/2026"}))),"-")</f>
        <v>-</v>
      </c>
      <c r="U17" s="69" t="s">
        <v>55</v>
      </c>
      <c r="V17" s="162" t="s">
        <v>163</v>
      </c>
      <c r="W17" s="62">
        <v>46176</v>
      </c>
      <c r="X17" s="150" t="s">
        <v>139</v>
      </c>
      <c r="Y17" s="169" t="s">
        <v>74</v>
      </c>
      <c r="Z17" s="196" t="str">
        <f t="shared" ca="1" si="1"/>
        <v>Culminado</v>
      </c>
      <c r="AA17" s="173" t="s">
        <v>43</v>
      </c>
      <c r="AB17" s="74" t="s">
        <v>43</v>
      </c>
      <c r="AC17" s="157" t="str">
        <f>IFERROR(IF(OR(AA17="-",AA17="",AB17="-",AB17=""),"-",CONCATENATE('Seguimiento OIT'!AB17-'Seguimiento OIT'!AA17+1," dias")),"-")</f>
        <v>-</v>
      </c>
      <c r="AD17" s="114" t="str">
        <f t="shared" ca="1" si="2"/>
        <v>-</v>
      </c>
      <c r="AE17" s="63" t="s">
        <v>43</v>
      </c>
      <c r="AF17" s="63" t="s">
        <v>164</v>
      </c>
      <c r="AG17" s="138" t="s">
        <v>171</v>
      </c>
      <c r="AH17" s="218" t="s">
        <v>44</v>
      </c>
      <c r="AI17" s="219" t="str">
        <f t="shared" si="3"/>
        <v>-</v>
      </c>
      <c r="AJ17" s="219" t="str">
        <f t="shared" si="4"/>
        <v>-</v>
      </c>
      <c r="AK17" s="219" t="str">
        <f t="shared" si="5"/>
        <v>-</v>
      </c>
      <c r="AL17" s="225" t="str">
        <f t="shared" si="6"/>
        <v>-</v>
      </c>
    </row>
    <row r="18" spans="1:38" ht="44.1" customHeight="1">
      <c r="A18" s="97" t="s">
        <v>172</v>
      </c>
      <c r="B18" s="37" t="str">
        <f t="shared" ca="1" si="0"/>
        <v>NO</v>
      </c>
      <c r="C18" s="165" t="s">
        <v>43</v>
      </c>
      <c r="D18" s="61" t="s">
        <v>44</v>
      </c>
      <c r="E18" s="61" t="s">
        <v>45</v>
      </c>
      <c r="F18" s="61" t="s">
        <v>61</v>
      </c>
      <c r="G18" s="167" t="s">
        <v>47</v>
      </c>
      <c r="H18" s="60" t="s">
        <v>173</v>
      </c>
      <c r="I18" s="62" t="s">
        <v>174</v>
      </c>
      <c r="J18" s="60" t="s">
        <v>175</v>
      </c>
      <c r="K18" s="62" t="s">
        <v>73</v>
      </c>
      <c r="L18" s="63" t="s">
        <v>74</v>
      </c>
      <c r="M18" s="63" t="s">
        <v>75</v>
      </c>
      <c r="N18" s="63" t="s">
        <v>170</v>
      </c>
      <c r="O18" s="64">
        <v>1610</v>
      </c>
      <c r="P18" s="120">
        <v>46164</v>
      </c>
      <c r="Q18" s="116" t="s">
        <v>54</v>
      </c>
      <c r="R18" s="159" t="s">
        <v>43</v>
      </c>
      <c r="S18" s="161" t="s">
        <v>43</v>
      </c>
      <c r="T18" s="68" t="str">
        <f ca="1">IFERROR(IF(OR(Q18="Ejecutado",Q18="No corresponde atención OGTI",Q18="Desistido",Q18="-",Q18="Para reformulación"),"-",IF(OR(S18="-",S18=""),"Falta fecha_estado",NETWORKDAYS(S18,TODAY(),{"02/04/2026";"03/04/2026";"30/06/2026"}))),"-")</f>
        <v>-</v>
      </c>
      <c r="U18" s="69" t="s">
        <v>55</v>
      </c>
      <c r="V18" s="162" t="s">
        <v>163</v>
      </c>
      <c r="W18" s="62">
        <v>46176</v>
      </c>
      <c r="X18" s="150" t="s">
        <v>139</v>
      </c>
      <c r="Y18" s="169" t="s">
        <v>74</v>
      </c>
      <c r="Z18" s="196" t="str">
        <f t="shared" ca="1" si="1"/>
        <v>Culminado</v>
      </c>
      <c r="AA18" s="173" t="s">
        <v>43</v>
      </c>
      <c r="AB18" s="74" t="s">
        <v>43</v>
      </c>
      <c r="AC18" s="157" t="str">
        <f>IFERROR(IF(OR(AA18="-",AA18="",AB18="-",AB18=""),"-",CONCATENATE('Seguimiento OIT'!AB18-'Seguimiento OIT'!AA18+1," dias")),"-")</f>
        <v>-</v>
      </c>
      <c r="AD18" s="114" t="str">
        <f t="shared" ca="1" si="2"/>
        <v>-</v>
      </c>
      <c r="AE18" s="63" t="s">
        <v>43</v>
      </c>
      <c r="AF18" s="63" t="s">
        <v>164</v>
      </c>
      <c r="AG18" s="138" t="s">
        <v>176</v>
      </c>
      <c r="AH18" s="218" t="s">
        <v>44</v>
      </c>
      <c r="AI18" s="219" t="str">
        <f t="shared" si="3"/>
        <v>-</v>
      </c>
      <c r="AJ18" s="219" t="str">
        <f t="shared" si="4"/>
        <v>-</v>
      </c>
      <c r="AK18" s="219" t="str">
        <f t="shared" si="5"/>
        <v>-</v>
      </c>
      <c r="AL18" s="225" t="str">
        <f t="shared" si="6"/>
        <v>-</v>
      </c>
    </row>
    <row r="19" spans="1:38" ht="44.1" customHeight="1">
      <c r="A19" s="97" t="s">
        <v>177</v>
      </c>
      <c r="B19" s="37" t="str">
        <f t="shared" ca="1" si="0"/>
        <v>SI</v>
      </c>
      <c r="C19" s="165" t="s">
        <v>43</v>
      </c>
      <c r="D19" s="61" t="s">
        <v>44</v>
      </c>
      <c r="E19" s="61" t="s">
        <v>45</v>
      </c>
      <c r="F19" s="61" t="s">
        <v>46</v>
      </c>
      <c r="G19" s="167" t="s">
        <v>69</v>
      </c>
      <c r="H19" s="60" t="s">
        <v>178</v>
      </c>
      <c r="I19" s="62" t="s">
        <v>179</v>
      </c>
      <c r="J19" s="60" t="s">
        <v>180</v>
      </c>
      <c r="K19" s="62" t="s">
        <v>119</v>
      </c>
      <c r="L19" s="63" t="s">
        <v>120</v>
      </c>
      <c r="M19" s="63" t="s">
        <v>75</v>
      </c>
      <c r="N19" s="63" t="s">
        <v>121</v>
      </c>
      <c r="O19" s="64">
        <v>43165</v>
      </c>
      <c r="P19" s="121">
        <v>46122</v>
      </c>
      <c r="Q19" s="116" t="s">
        <v>54</v>
      </c>
      <c r="R19" s="159" t="s">
        <v>43</v>
      </c>
      <c r="S19" s="161" t="s">
        <v>43</v>
      </c>
      <c r="T19" s="68" t="str">
        <f ca="1">IFERROR(IF(OR(Q19="Ejecutado",Q19="No corresponde atención OGTI",Q19="Desistido",Q19="-",Q19="Para reformulación"),"-",IF(OR(S19="-",S19=""),"Falta fecha_estado",NETWORKDAYS(S19,TODAY(),{"02/04/2026";"03/04/2026";"30/06/2026"}))),"-")</f>
        <v>-</v>
      </c>
      <c r="U19" s="69" t="s">
        <v>77</v>
      </c>
      <c r="V19" s="162" t="s">
        <v>181</v>
      </c>
      <c r="W19" s="62">
        <v>46147</v>
      </c>
      <c r="X19" s="150" t="s">
        <v>79</v>
      </c>
      <c r="Y19" s="169" t="s">
        <v>120</v>
      </c>
      <c r="Z19" s="196" t="str">
        <f t="shared" ca="1" si="1"/>
        <v>Vigente</v>
      </c>
      <c r="AA19" s="173">
        <v>46163</v>
      </c>
      <c r="AB19" s="74">
        <v>46527</v>
      </c>
      <c r="AC19" s="157" t="str">
        <f>IFERROR(IF(OR(AA19="-",AA19="",AB19="-",AB19=""),"-",CONCATENATE('Seguimiento OIT'!AB19-'Seguimiento OIT'!AA19+1," dias")),"-")</f>
        <v>365 dias</v>
      </c>
      <c r="AD19" s="114" t="str">
        <f t="shared" ca="1" si="2"/>
        <v>-</v>
      </c>
      <c r="AE19" s="63" t="s">
        <v>43</v>
      </c>
      <c r="AF19" s="63" t="s">
        <v>182</v>
      </c>
      <c r="AG19" s="138" t="s">
        <v>183</v>
      </c>
      <c r="AH19" s="218" t="s">
        <v>44</v>
      </c>
      <c r="AI19" s="219" t="str">
        <f t="shared" si="3"/>
        <v>-</v>
      </c>
      <c r="AJ19" s="219" t="str">
        <f t="shared" si="4"/>
        <v>-</v>
      </c>
      <c r="AK19" s="219" t="str">
        <f t="shared" si="5"/>
        <v>-</v>
      </c>
      <c r="AL19" s="225" t="str">
        <f t="shared" si="6"/>
        <v>-</v>
      </c>
    </row>
    <row r="20" spans="1:38" ht="44.1" customHeight="1">
      <c r="A20" s="97" t="s">
        <v>184</v>
      </c>
      <c r="B20" s="37" t="str">
        <f t="shared" ca="1" si="0"/>
        <v>SI</v>
      </c>
      <c r="C20" s="165" t="s">
        <v>43</v>
      </c>
      <c r="D20" s="61" t="s">
        <v>44</v>
      </c>
      <c r="E20" s="61" t="s">
        <v>45</v>
      </c>
      <c r="F20" s="61" t="s">
        <v>61</v>
      </c>
      <c r="G20" s="167" t="s">
        <v>69</v>
      </c>
      <c r="H20" s="60" t="s">
        <v>185</v>
      </c>
      <c r="I20" s="62" t="s">
        <v>186</v>
      </c>
      <c r="J20" s="60" t="s">
        <v>187</v>
      </c>
      <c r="K20" s="62" t="s">
        <v>119</v>
      </c>
      <c r="L20" s="63" t="s">
        <v>120</v>
      </c>
      <c r="M20" s="63" t="s">
        <v>75</v>
      </c>
      <c r="N20" s="63" t="s">
        <v>130</v>
      </c>
      <c r="O20" s="64">
        <v>43890</v>
      </c>
      <c r="P20" s="120">
        <v>46049</v>
      </c>
      <c r="Q20" s="116" t="s">
        <v>54</v>
      </c>
      <c r="R20" s="159" t="s">
        <v>43</v>
      </c>
      <c r="S20" s="161" t="s">
        <v>43</v>
      </c>
      <c r="T20" s="68" t="str">
        <f ca="1">IFERROR(IF(OR(Q20="Ejecutado",Q20="No corresponde atención OGTI",Q20="Desistido",Q20="-",Q20="Para reformulación"),"-",IF(OR(S20="-",S20=""),"Falta fecha_estado",NETWORKDAYS(S20,TODAY(),{"02/04/2026";"03/04/2026";"30/06/2026"}))),"-")</f>
        <v>-</v>
      </c>
      <c r="U20" s="69" t="s">
        <v>77</v>
      </c>
      <c r="V20" s="162" t="s">
        <v>188</v>
      </c>
      <c r="W20" s="62">
        <v>46097</v>
      </c>
      <c r="X20" s="150" t="s">
        <v>189</v>
      </c>
      <c r="Y20" s="169" t="s">
        <v>120</v>
      </c>
      <c r="Z20" s="196" t="str">
        <f t="shared" ca="1" si="1"/>
        <v>Vigente</v>
      </c>
      <c r="AA20" s="173">
        <v>46150</v>
      </c>
      <c r="AB20" s="74">
        <v>46334</v>
      </c>
      <c r="AC20" s="157" t="str">
        <f>IFERROR(IF(OR(AA20="-",AA20="",AB20="-",AB20=""),"-",CONCATENATE('Seguimiento OIT'!AB20-'Seguimiento OIT'!AA20+1," dias")),"-")</f>
        <v>185 dias</v>
      </c>
      <c r="AD20" s="114" t="str">
        <f t="shared" ca="1" si="2"/>
        <v>-</v>
      </c>
      <c r="AE20" s="63" t="s">
        <v>43</v>
      </c>
      <c r="AF20" s="63" t="s">
        <v>190</v>
      </c>
      <c r="AG20" s="138" t="s">
        <v>191</v>
      </c>
      <c r="AH20" s="218" t="s">
        <v>44</v>
      </c>
      <c r="AI20" s="219" t="str">
        <f t="shared" si="3"/>
        <v>-</v>
      </c>
      <c r="AJ20" s="219" t="str">
        <f t="shared" si="4"/>
        <v>-</v>
      </c>
      <c r="AK20" s="219" t="str">
        <f t="shared" si="5"/>
        <v>-</v>
      </c>
      <c r="AL20" s="225" t="str">
        <f t="shared" si="6"/>
        <v>-</v>
      </c>
    </row>
    <row r="21" spans="1:38" ht="44.1" customHeight="1">
      <c r="A21" s="97" t="s">
        <v>192</v>
      </c>
      <c r="B21" s="37" t="str">
        <f t="shared" ca="1" si="0"/>
        <v>SI</v>
      </c>
      <c r="C21" s="165" t="s">
        <v>43</v>
      </c>
      <c r="D21" s="61" t="s">
        <v>44</v>
      </c>
      <c r="E21" s="61" t="s">
        <v>45</v>
      </c>
      <c r="F21" s="61" t="s">
        <v>61</v>
      </c>
      <c r="G21" s="167" t="s">
        <v>69</v>
      </c>
      <c r="H21" s="60" t="s">
        <v>193</v>
      </c>
      <c r="I21" s="62" t="s">
        <v>194</v>
      </c>
      <c r="J21" s="60" t="s">
        <v>195</v>
      </c>
      <c r="K21" s="62" t="s">
        <v>73</v>
      </c>
      <c r="L21" s="63" t="s">
        <v>120</v>
      </c>
      <c r="M21" s="63" t="s">
        <v>75</v>
      </c>
      <c r="N21" s="63" t="s">
        <v>196</v>
      </c>
      <c r="O21" s="64">
        <v>12150</v>
      </c>
      <c r="P21" s="120">
        <v>46122</v>
      </c>
      <c r="Q21" s="116" t="s">
        <v>54</v>
      </c>
      <c r="R21" s="159" t="s">
        <v>43</v>
      </c>
      <c r="S21" s="161" t="s">
        <v>43</v>
      </c>
      <c r="T21" s="68" t="str">
        <f ca="1">IFERROR(IF(OR(Q21="Ejecutado",Q21="No corresponde atención OGTI",Q21="Desistido",Q21="-",Q21="Para reformulación"),"-",IF(OR(S21="-",S21=""),"Falta fecha_estado",NETWORKDAYS(S21,TODAY(),{"02/04/2026";"03/04/2026";"30/06/2026"}))),"-")</f>
        <v>-</v>
      </c>
      <c r="U21" s="69" t="s">
        <v>197</v>
      </c>
      <c r="V21" s="162" t="s">
        <v>198</v>
      </c>
      <c r="W21" s="62">
        <v>46128</v>
      </c>
      <c r="X21" s="150" t="s">
        <v>199</v>
      </c>
      <c r="Y21" s="169" t="s">
        <v>120</v>
      </c>
      <c r="Z21" s="196" t="str">
        <f t="shared" ca="1" si="1"/>
        <v>Vigente_por vencer</v>
      </c>
      <c r="AA21" s="173">
        <v>46113</v>
      </c>
      <c r="AB21" s="74">
        <v>46265</v>
      </c>
      <c r="AC21" s="157" t="str">
        <f>IFERROR(IF(OR(AA21="-",AA21="",AB21="-",AB21=""),"-",CONCATENATE('Seguimiento OIT'!AB21-'Seguimiento OIT'!AA21+1," dias")),"-")</f>
        <v>153 dias</v>
      </c>
      <c r="AD21" s="114" t="str">
        <f t="shared" ca="1" si="2"/>
        <v>-</v>
      </c>
      <c r="AE21" s="63" t="s">
        <v>43</v>
      </c>
      <c r="AF21" s="63" t="s">
        <v>43</v>
      </c>
      <c r="AG21" s="138" t="s">
        <v>200</v>
      </c>
      <c r="AH21" s="218" t="s">
        <v>44</v>
      </c>
      <c r="AI21" s="219" t="str">
        <f t="shared" si="3"/>
        <v>-</v>
      </c>
      <c r="AJ21" s="219" t="str">
        <f t="shared" si="4"/>
        <v>-</v>
      </c>
      <c r="AK21" s="219" t="str">
        <f t="shared" si="5"/>
        <v>-</v>
      </c>
      <c r="AL21" s="225" t="str">
        <f t="shared" si="6"/>
        <v>-</v>
      </c>
    </row>
    <row r="22" spans="1:38" ht="44.1" customHeight="1">
      <c r="A22" s="97" t="s">
        <v>201</v>
      </c>
      <c r="B22" s="37" t="str">
        <f t="shared" ca="1" si="0"/>
        <v>NO</v>
      </c>
      <c r="C22" s="165" t="s">
        <v>43</v>
      </c>
      <c r="D22" s="61" t="s">
        <v>44</v>
      </c>
      <c r="E22" s="61" t="s">
        <v>45</v>
      </c>
      <c r="F22" s="61" t="s">
        <v>61</v>
      </c>
      <c r="G22" s="167" t="s">
        <v>47</v>
      </c>
      <c r="H22" s="60" t="s">
        <v>202</v>
      </c>
      <c r="I22" s="62" t="s">
        <v>203</v>
      </c>
      <c r="J22" s="60" t="s">
        <v>204</v>
      </c>
      <c r="K22" s="62" t="s">
        <v>73</v>
      </c>
      <c r="L22" s="63" t="s">
        <v>74</v>
      </c>
      <c r="M22" s="63" t="s">
        <v>75</v>
      </c>
      <c r="N22" s="63" t="s">
        <v>205</v>
      </c>
      <c r="O22" s="64">
        <v>26724.01</v>
      </c>
      <c r="P22" s="120">
        <v>46129</v>
      </c>
      <c r="Q22" s="116" t="s">
        <v>54</v>
      </c>
      <c r="R22" s="159" t="s">
        <v>43</v>
      </c>
      <c r="S22" s="161" t="s">
        <v>43</v>
      </c>
      <c r="T22" s="68" t="str">
        <f ca="1">IFERROR(IF(OR(Q22="Ejecutado",Q22="No corresponde atención OGTI",Q22="Desistido",Q22="-",Q22="Para reformulación"),"-",IF(OR(S22="-",S22=""),"Falta fecha_estado",NETWORKDAYS(S22,TODAY(),{"02/04/2026";"03/04/2026";"30/06/2026"}))),"-")</f>
        <v>-</v>
      </c>
      <c r="U22" s="69" t="s">
        <v>55</v>
      </c>
      <c r="V22" s="162" t="s">
        <v>206</v>
      </c>
      <c r="W22" s="62">
        <v>46140</v>
      </c>
      <c r="X22" s="150" t="s">
        <v>207</v>
      </c>
      <c r="Y22" s="169" t="s">
        <v>74</v>
      </c>
      <c r="Z22" s="196" t="str">
        <f t="shared" ca="1" si="1"/>
        <v>Culminado</v>
      </c>
      <c r="AA22" s="173" t="s">
        <v>43</v>
      </c>
      <c r="AB22" s="74" t="s">
        <v>43</v>
      </c>
      <c r="AC22" s="157" t="str">
        <f>IFERROR(IF(OR(AA22="-",AA22="",AB22="-",AB22=""),"-",CONCATENATE('Seguimiento OIT'!AB22-'Seguimiento OIT'!AA22+1," dias")),"-")</f>
        <v>-</v>
      </c>
      <c r="AD22" s="114" t="str">
        <f t="shared" ca="1" si="2"/>
        <v>-</v>
      </c>
      <c r="AE22" s="63" t="s">
        <v>43</v>
      </c>
      <c r="AF22" s="63" t="s">
        <v>208</v>
      </c>
      <c r="AG22" s="138" t="s">
        <v>209</v>
      </c>
      <c r="AH22" s="218" t="s">
        <v>44</v>
      </c>
      <c r="AI22" s="219" t="str">
        <f t="shared" si="3"/>
        <v>-</v>
      </c>
      <c r="AJ22" s="219" t="str">
        <f t="shared" si="4"/>
        <v>-</v>
      </c>
      <c r="AK22" s="219" t="str">
        <f t="shared" si="5"/>
        <v>-</v>
      </c>
      <c r="AL22" s="225" t="str">
        <f t="shared" si="6"/>
        <v>-</v>
      </c>
    </row>
    <row r="23" spans="1:38" ht="44.1" customHeight="1">
      <c r="A23" s="97" t="s">
        <v>210</v>
      </c>
      <c r="B23" s="37" t="str">
        <f t="shared" ca="1" si="0"/>
        <v>NO</v>
      </c>
      <c r="C23" s="165" t="s">
        <v>43</v>
      </c>
      <c r="D23" s="61" t="s">
        <v>44</v>
      </c>
      <c r="E23" s="61" t="s">
        <v>45</v>
      </c>
      <c r="F23" s="61" t="s">
        <v>61</v>
      </c>
      <c r="G23" s="167" t="s">
        <v>47</v>
      </c>
      <c r="H23" s="60" t="s">
        <v>211</v>
      </c>
      <c r="I23" s="62" t="s">
        <v>212</v>
      </c>
      <c r="J23" s="60" t="s">
        <v>213</v>
      </c>
      <c r="K23" s="62" t="s">
        <v>73</v>
      </c>
      <c r="L23" s="63" t="s">
        <v>74</v>
      </c>
      <c r="M23" s="63" t="s">
        <v>75</v>
      </c>
      <c r="N23" s="63" t="s">
        <v>110</v>
      </c>
      <c r="O23" s="64">
        <v>13865</v>
      </c>
      <c r="P23" s="120">
        <v>46167</v>
      </c>
      <c r="Q23" s="116" t="s">
        <v>54</v>
      </c>
      <c r="R23" s="159" t="s">
        <v>43</v>
      </c>
      <c r="S23" s="161" t="s">
        <v>43</v>
      </c>
      <c r="T23" s="68" t="str">
        <f ca="1">IFERROR(IF(OR(Q23="Ejecutado",Q23="No corresponde atención OGTI",Q23="Desistido",Q23="-",Q23="Para reformulación"),"-",IF(OR(S23="-",S23=""),"Falta fecha_estado",NETWORKDAYS(S23,TODAY(),{"02/04/2026";"03/04/2026";"30/06/2026"}))),"-")</f>
        <v>-</v>
      </c>
      <c r="U23" s="69" t="s">
        <v>55</v>
      </c>
      <c r="V23" s="154" t="s">
        <v>214</v>
      </c>
      <c r="W23" s="62">
        <v>46197</v>
      </c>
      <c r="X23" s="132" t="s">
        <v>215</v>
      </c>
      <c r="Y23" s="169" t="s">
        <v>74</v>
      </c>
      <c r="Z23" s="196" t="str">
        <f t="shared" ca="1" si="1"/>
        <v>Culminado</v>
      </c>
      <c r="AA23" s="173" t="s">
        <v>43</v>
      </c>
      <c r="AB23" s="74" t="s">
        <v>43</v>
      </c>
      <c r="AC23" s="157" t="str">
        <f>IFERROR(IF(OR(AA23="-",AA23="",AB23="-",AB23=""),"-",CONCATENATE('Seguimiento OIT'!AB23-'Seguimiento OIT'!AA23+1," dias")),"-")</f>
        <v>-</v>
      </c>
      <c r="AD23" s="114" t="str">
        <f t="shared" ca="1" si="2"/>
        <v>-</v>
      </c>
      <c r="AE23" s="80" t="s">
        <v>43</v>
      </c>
      <c r="AF23" s="63" t="s">
        <v>216</v>
      </c>
      <c r="AG23" s="139" t="s">
        <v>217</v>
      </c>
      <c r="AH23" s="218" t="s">
        <v>44</v>
      </c>
      <c r="AI23" s="219" t="str">
        <f t="shared" si="3"/>
        <v>-</v>
      </c>
      <c r="AJ23" s="219" t="str">
        <f t="shared" si="4"/>
        <v>-</v>
      </c>
      <c r="AK23" s="219" t="str">
        <f t="shared" si="5"/>
        <v>-</v>
      </c>
      <c r="AL23" s="225" t="str">
        <f t="shared" si="6"/>
        <v>-</v>
      </c>
    </row>
    <row r="24" spans="1:38" ht="44.1" customHeight="1">
      <c r="A24" s="98" t="s">
        <v>218</v>
      </c>
      <c r="B24" s="37" t="str">
        <f t="shared" ca="1" si="0"/>
        <v>SI</v>
      </c>
      <c r="C24" s="165" t="s">
        <v>43</v>
      </c>
      <c r="D24" s="61" t="s">
        <v>44</v>
      </c>
      <c r="E24" s="61" t="s">
        <v>45</v>
      </c>
      <c r="F24" s="61" t="s">
        <v>46</v>
      </c>
      <c r="G24" s="167" t="s">
        <v>69</v>
      </c>
      <c r="H24" s="60" t="s">
        <v>219</v>
      </c>
      <c r="I24" s="62" t="s">
        <v>220</v>
      </c>
      <c r="J24" s="60" t="s">
        <v>221</v>
      </c>
      <c r="K24" s="62" t="s">
        <v>222</v>
      </c>
      <c r="L24" s="63" t="s">
        <v>223</v>
      </c>
      <c r="M24" s="63" t="s">
        <v>223</v>
      </c>
      <c r="N24" s="63" t="s">
        <v>196</v>
      </c>
      <c r="O24" s="81">
        <v>43992</v>
      </c>
      <c r="P24" s="120"/>
      <c r="Q24" s="116" t="s">
        <v>54</v>
      </c>
      <c r="R24" s="159" t="s">
        <v>43</v>
      </c>
      <c r="S24" s="161" t="s">
        <v>43</v>
      </c>
      <c r="T24" s="68" t="str">
        <f ca="1">IFERROR(IF(OR(Q24="Ejecutado",Q24="No corresponde atención OGTI",Q24="Desistido",Q24="-",Q24="Para reformulación"),"-",IF(OR(S24="-",S24=""),"Falta fecha_estado",NETWORKDAYS(S24,TODAY(),{"02/04/2026";"03/04/2026";"30/06/2026"}))),"-")</f>
        <v>-</v>
      </c>
      <c r="U24" s="69" t="s">
        <v>224</v>
      </c>
      <c r="V24" s="162" t="s">
        <v>225</v>
      </c>
      <c r="W24" s="62">
        <v>46086</v>
      </c>
      <c r="X24" s="150" t="s">
        <v>112</v>
      </c>
      <c r="Y24" s="169" t="s">
        <v>223</v>
      </c>
      <c r="Z24" s="196" t="str">
        <f t="shared" ca="1" si="1"/>
        <v>Vigente</v>
      </c>
      <c r="AA24" s="173">
        <v>46090</v>
      </c>
      <c r="AB24" s="74">
        <v>46449</v>
      </c>
      <c r="AC24" s="157" t="str">
        <f>IFERROR(IF(OR(AA24="-",AA24="",AB24="-",AB24=""),"-",CONCATENATE('Seguimiento OIT'!AB24-'Seguimiento OIT'!AA24+1," dias")),"-")</f>
        <v>360 dias</v>
      </c>
      <c r="AD24" s="114" t="str">
        <f t="shared" ca="1" si="2"/>
        <v>-</v>
      </c>
      <c r="AE24" s="63" t="s">
        <v>43</v>
      </c>
      <c r="AF24" s="63"/>
      <c r="AG24" s="138" t="s">
        <v>226</v>
      </c>
      <c r="AH24" s="218" t="s">
        <v>44</v>
      </c>
      <c r="AI24" s="219" t="str">
        <f t="shared" si="3"/>
        <v>-</v>
      </c>
      <c r="AJ24" s="219" t="str">
        <f t="shared" si="4"/>
        <v>-</v>
      </c>
      <c r="AK24" s="219" t="str">
        <f t="shared" si="5"/>
        <v>-</v>
      </c>
      <c r="AL24" s="225" t="str">
        <f t="shared" si="6"/>
        <v>-</v>
      </c>
    </row>
    <row r="25" spans="1:38" ht="44.1" customHeight="1">
      <c r="A25" s="98" t="s">
        <v>227</v>
      </c>
      <c r="B25" s="37" t="str">
        <f t="shared" ca="1" si="0"/>
        <v>NO</v>
      </c>
      <c r="C25" s="165" t="s">
        <v>43</v>
      </c>
      <c r="D25" s="61" t="s">
        <v>44</v>
      </c>
      <c r="E25" s="61" t="s">
        <v>45</v>
      </c>
      <c r="F25" s="61" t="s">
        <v>228</v>
      </c>
      <c r="G25" s="167" t="s">
        <v>47</v>
      </c>
      <c r="H25" s="60" t="s">
        <v>229</v>
      </c>
      <c r="I25" s="62" t="s">
        <v>230</v>
      </c>
      <c r="J25" s="60" t="s">
        <v>231</v>
      </c>
      <c r="K25" s="62" t="s">
        <v>73</v>
      </c>
      <c r="L25" s="63" t="s">
        <v>74</v>
      </c>
      <c r="M25" s="63" t="s">
        <v>75</v>
      </c>
      <c r="N25" s="63" t="s">
        <v>110</v>
      </c>
      <c r="O25" s="64">
        <v>1698</v>
      </c>
      <c r="P25" s="120">
        <v>46192</v>
      </c>
      <c r="Q25" s="116" t="s">
        <v>54</v>
      </c>
      <c r="R25" s="159" t="s">
        <v>43</v>
      </c>
      <c r="S25" s="161" t="s">
        <v>43</v>
      </c>
      <c r="T25" s="68" t="str">
        <f ca="1">IFERROR(IF(OR(Q25="Ejecutado",Q25="No corresponde atención OGTI",Q25="Desistido",Q25="-",Q25="Para reformulación"),"-",IF(OR(S25="-",S25=""),"Falta fecha_estado",NETWORKDAYS(S25,TODAY(),{"02/04/2026";"03/04/2026";"30/06/2026"}))),"-")</f>
        <v>-</v>
      </c>
      <c r="U25" s="69" t="s">
        <v>55</v>
      </c>
      <c r="V25" s="162" t="s">
        <v>232</v>
      </c>
      <c r="W25" s="62">
        <v>46192</v>
      </c>
      <c r="X25" s="150" t="s">
        <v>233</v>
      </c>
      <c r="Y25" s="170" t="s">
        <v>234</v>
      </c>
      <c r="Z25" s="196" t="str">
        <f t="shared" ca="1" si="1"/>
        <v>Culminado</v>
      </c>
      <c r="AA25" s="173" t="s">
        <v>43</v>
      </c>
      <c r="AB25" s="74" t="s">
        <v>43</v>
      </c>
      <c r="AC25" s="157" t="str">
        <f>IFERROR(IF(OR(AA25="-",AA25="",AB25="-",AB25=""),"-",CONCATENATE('Seguimiento OIT'!AB25-'Seguimiento OIT'!AA25+1," dias")),"-")</f>
        <v>-</v>
      </c>
      <c r="AD25" s="114" t="str">
        <f t="shared" ca="1" si="2"/>
        <v>-</v>
      </c>
      <c r="AE25" s="87" t="s">
        <v>235</v>
      </c>
      <c r="AF25" s="63" t="s">
        <v>236</v>
      </c>
      <c r="AG25" s="138" t="s">
        <v>237</v>
      </c>
      <c r="AH25" s="218" t="s">
        <v>44</v>
      </c>
      <c r="AI25" s="219" t="str">
        <f t="shared" si="3"/>
        <v>-</v>
      </c>
      <c r="AJ25" s="219" t="str">
        <f t="shared" si="4"/>
        <v>-</v>
      </c>
      <c r="AK25" s="219" t="str">
        <f t="shared" si="5"/>
        <v>-</v>
      </c>
      <c r="AL25" s="225" t="str">
        <f t="shared" si="6"/>
        <v>-</v>
      </c>
    </row>
    <row r="26" spans="1:38" ht="44.1" customHeight="1">
      <c r="A26" s="97" t="s">
        <v>238</v>
      </c>
      <c r="B26" s="37" t="str">
        <f t="shared" ca="1" si="0"/>
        <v>NO</v>
      </c>
      <c r="C26" s="165" t="s">
        <v>43</v>
      </c>
      <c r="D26" s="61" t="s">
        <v>44</v>
      </c>
      <c r="E26" s="61" t="s">
        <v>45</v>
      </c>
      <c r="F26" s="61" t="s">
        <v>61</v>
      </c>
      <c r="G26" s="167" t="s">
        <v>47</v>
      </c>
      <c r="H26" s="60" t="s">
        <v>239</v>
      </c>
      <c r="I26" s="62" t="s">
        <v>240</v>
      </c>
      <c r="J26" s="60" t="s">
        <v>241</v>
      </c>
      <c r="K26" s="62" t="s">
        <v>73</v>
      </c>
      <c r="L26" s="63" t="s">
        <v>74</v>
      </c>
      <c r="M26" s="63" t="s">
        <v>75</v>
      </c>
      <c r="N26" s="63" t="s">
        <v>102</v>
      </c>
      <c r="O26" s="64">
        <v>3157.04</v>
      </c>
      <c r="P26" s="120">
        <v>46170</v>
      </c>
      <c r="Q26" s="116" t="s">
        <v>54</v>
      </c>
      <c r="R26" s="159" t="s">
        <v>43</v>
      </c>
      <c r="S26" s="161" t="s">
        <v>43</v>
      </c>
      <c r="T26" s="68" t="str">
        <f ca="1">IFERROR(IF(OR(Q26="Ejecutado",Q26="No corresponde atención OGTI",Q26="Desistido",Q26="-",Q26="Para reformulación"),"-",IF(OR(S26="-",S26=""),"Falta fecha_estado",NETWORKDAYS(S26,TODAY(),{"02/04/2026";"03/04/2026";"30/06/2026"}))),"-")</f>
        <v>-</v>
      </c>
      <c r="U26" s="69" t="s">
        <v>55</v>
      </c>
      <c r="V26" s="162" t="s">
        <v>242</v>
      </c>
      <c r="W26" s="62">
        <v>46191</v>
      </c>
      <c r="X26" s="150" t="s">
        <v>243</v>
      </c>
      <c r="Y26" s="169" t="s">
        <v>74</v>
      </c>
      <c r="Z26" s="196" t="str">
        <f t="shared" ca="1" si="1"/>
        <v>Culminado</v>
      </c>
      <c r="AA26" s="173" t="s">
        <v>43</v>
      </c>
      <c r="AB26" s="74" t="s">
        <v>43</v>
      </c>
      <c r="AC26" s="157" t="str">
        <f>IFERROR(IF(OR(AA26="-",AA26="",AB26="-",AB26=""),"-",CONCATENATE('Seguimiento OIT'!AB26-'Seguimiento OIT'!AA26+1," dias")),"-")</f>
        <v>-</v>
      </c>
      <c r="AD26" s="114" t="str">
        <f t="shared" ca="1" si="2"/>
        <v>-</v>
      </c>
      <c r="AE26" s="87" t="s">
        <v>244</v>
      </c>
      <c r="AF26" s="63" t="s">
        <v>245</v>
      </c>
      <c r="AG26" s="138" t="s">
        <v>246</v>
      </c>
      <c r="AH26" s="218" t="s">
        <v>44</v>
      </c>
      <c r="AI26" s="219" t="str">
        <f t="shared" si="3"/>
        <v>-</v>
      </c>
      <c r="AJ26" s="219" t="str">
        <f t="shared" si="4"/>
        <v>-</v>
      </c>
      <c r="AK26" s="219" t="str">
        <f t="shared" si="5"/>
        <v>-</v>
      </c>
      <c r="AL26" s="225" t="str">
        <f t="shared" si="6"/>
        <v>-</v>
      </c>
    </row>
    <row r="27" spans="1:38" ht="44.1" customHeight="1">
      <c r="A27" s="97" t="s">
        <v>247</v>
      </c>
      <c r="B27" s="37" t="str">
        <f t="shared" ca="1" si="0"/>
        <v>SI</v>
      </c>
      <c r="C27" s="165" t="s">
        <v>43</v>
      </c>
      <c r="D27" s="61" t="s">
        <v>44</v>
      </c>
      <c r="E27" s="61" t="s">
        <v>45</v>
      </c>
      <c r="F27" s="61" t="s">
        <v>228</v>
      </c>
      <c r="G27" s="167" t="s">
        <v>69</v>
      </c>
      <c r="H27" s="60" t="s">
        <v>248</v>
      </c>
      <c r="I27" s="62" t="s">
        <v>249</v>
      </c>
      <c r="J27" s="60" t="s">
        <v>250</v>
      </c>
      <c r="K27" s="62" t="s">
        <v>73</v>
      </c>
      <c r="L27" s="63" t="s">
        <v>74</v>
      </c>
      <c r="M27" s="63" t="s">
        <v>75</v>
      </c>
      <c r="N27" s="63" t="s">
        <v>137</v>
      </c>
      <c r="O27" s="64">
        <v>1958.8</v>
      </c>
      <c r="P27" s="120">
        <v>46188</v>
      </c>
      <c r="Q27" s="116" t="s">
        <v>54</v>
      </c>
      <c r="R27" s="159" t="s">
        <v>43</v>
      </c>
      <c r="S27" s="161" t="s">
        <v>43</v>
      </c>
      <c r="T27" s="68" t="str">
        <f ca="1">IFERROR(IF(OR(Q27="Ejecutado",Q27="No corresponde atención OGTI",Q27="Desistido",Q27="-",Q27="Para reformulación"),"-",IF(OR(S27="-",S27=""),"Falta fecha_estado",NETWORKDAYS(S27,TODAY(),{"02/04/2026";"03/04/2026";"30/06/2026"}))),"-")</f>
        <v>-</v>
      </c>
      <c r="U27" s="69" t="s">
        <v>77</v>
      </c>
      <c r="V27" s="162" t="s">
        <v>251</v>
      </c>
      <c r="W27" s="62">
        <v>46189</v>
      </c>
      <c r="X27" s="150" t="s">
        <v>252</v>
      </c>
      <c r="Y27" s="170" t="s">
        <v>253</v>
      </c>
      <c r="Z27" s="196" t="str">
        <f t="shared" ca="1" si="1"/>
        <v>Vigente</v>
      </c>
      <c r="AA27" s="173">
        <v>46192</v>
      </c>
      <c r="AB27" s="74">
        <v>46556</v>
      </c>
      <c r="AC27" s="157" t="str">
        <f>IFERROR(IF(OR(AA27="-",AA27="",AB27="-",AB27=""),"-",CONCATENATE('Seguimiento OIT'!AB27-'Seguimiento OIT'!AA27+1," dias")),"-")</f>
        <v>365 dias</v>
      </c>
      <c r="AD27" s="114" t="str">
        <f t="shared" ca="1" si="2"/>
        <v>-</v>
      </c>
      <c r="AE27" s="87" t="s">
        <v>254</v>
      </c>
      <c r="AF27" s="87" t="s">
        <v>255</v>
      </c>
      <c r="AG27" s="138" t="s">
        <v>256</v>
      </c>
      <c r="AH27" s="218" t="s">
        <v>44</v>
      </c>
      <c r="AI27" s="219" t="str">
        <f t="shared" si="3"/>
        <v>-</v>
      </c>
      <c r="AJ27" s="219" t="str">
        <f t="shared" si="4"/>
        <v>-</v>
      </c>
      <c r="AK27" s="219" t="str">
        <f t="shared" si="5"/>
        <v>-</v>
      </c>
      <c r="AL27" s="225" t="str">
        <f t="shared" si="6"/>
        <v>-</v>
      </c>
    </row>
    <row r="28" spans="1:38" ht="44.1" customHeight="1">
      <c r="A28" s="97" t="s">
        <v>257</v>
      </c>
      <c r="B28" s="37" t="str">
        <f t="shared" ca="1" si="0"/>
        <v>NO</v>
      </c>
      <c r="C28" s="165" t="s">
        <v>43</v>
      </c>
      <c r="D28" s="61" t="s">
        <v>44</v>
      </c>
      <c r="E28" s="61" t="s">
        <v>45</v>
      </c>
      <c r="F28" s="61" t="s">
        <v>228</v>
      </c>
      <c r="G28" s="167" t="s">
        <v>47</v>
      </c>
      <c r="H28" s="60" t="s">
        <v>258</v>
      </c>
      <c r="I28" s="62" t="s">
        <v>259</v>
      </c>
      <c r="J28" s="60" t="s">
        <v>260</v>
      </c>
      <c r="K28" s="62" t="s">
        <v>73</v>
      </c>
      <c r="L28" s="63" t="s">
        <v>74</v>
      </c>
      <c r="M28" s="63" t="s">
        <v>75</v>
      </c>
      <c r="N28" s="63" t="s">
        <v>261</v>
      </c>
      <c r="O28" s="64" t="s">
        <v>43</v>
      </c>
      <c r="P28" s="120">
        <v>46178</v>
      </c>
      <c r="Q28" s="116" t="s">
        <v>262</v>
      </c>
      <c r="R28" s="159" t="s">
        <v>43</v>
      </c>
      <c r="S28" s="161" t="s">
        <v>43</v>
      </c>
      <c r="T28" s="68" t="str">
        <f ca="1">IFERROR(IF(OR(Q28="Ejecutado",Q28="No corresponde atención OGTI",Q28="Desistido",Q28="-",Q28="Para reformulación"),"-",IF(OR(S28="-",S28=""),"Falta fecha_estado",NETWORKDAYS(S28,TODAY(),{"02/04/2026";"03/04/2026";"30/06/2026"}))),"-")</f>
        <v>-</v>
      </c>
      <c r="U28" s="69" t="s">
        <v>43</v>
      </c>
      <c r="V28" s="162" t="s">
        <v>43</v>
      </c>
      <c r="W28" s="82" t="s">
        <v>43</v>
      </c>
      <c r="X28" s="132" t="s">
        <v>43</v>
      </c>
      <c r="Y28" s="169" t="s">
        <v>43</v>
      </c>
      <c r="Z28" s="196" t="str">
        <f t="shared" ca="1" si="1"/>
        <v>No corresponde atención OGTI</v>
      </c>
      <c r="AA28" s="173" t="s">
        <v>43</v>
      </c>
      <c r="AB28" s="74" t="s">
        <v>43</v>
      </c>
      <c r="AC28" s="157" t="str">
        <f>IFERROR(IF(OR(AA28="-",AA28="",AB28="-",AB28=""),"-",CONCATENATE('Seguimiento OIT'!AB28-'Seguimiento OIT'!AA28+1," dias")),"-")</f>
        <v>-</v>
      </c>
      <c r="AD28" s="114" t="str">
        <f t="shared" ca="1" si="2"/>
        <v>-</v>
      </c>
      <c r="AE28" s="87" t="s">
        <v>263</v>
      </c>
      <c r="AF28" s="85" t="s">
        <v>43</v>
      </c>
      <c r="AG28" s="138" t="s">
        <v>264</v>
      </c>
      <c r="AH28" s="218" t="s">
        <v>44</v>
      </c>
      <c r="AI28" s="219" t="str">
        <f t="shared" si="3"/>
        <v>-</v>
      </c>
      <c r="AJ28" s="219" t="str">
        <f t="shared" si="4"/>
        <v>-</v>
      </c>
      <c r="AK28" s="219" t="str">
        <f t="shared" si="5"/>
        <v>-</v>
      </c>
      <c r="AL28" s="225" t="str">
        <f t="shared" si="6"/>
        <v>-</v>
      </c>
    </row>
    <row r="29" spans="1:38" ht="44.1" customHeight="1">
      <c r="A29" s="97" t="s">
        <v>265</v>
      </c>
      <c r="B29" s="37" t="str">
        <f t="shared" ca="1" si="0"/>
        <v>SI</v>
      </c>
      <c r="C29" s="165" t="s">
        <v>43</v>
      </c>
      <c r="D29" s="61" t="s">
        <v>44</v>
      </c>
      <c r="E29" s="61" t="s">
        <v>45</v>
      </c>
      <c r="F29" s="61" t="s">
        <v>228</v>
      </c>
      <c r="G29" s="167" t="s">
        <v>47</v>
      </c>
      <c r="H29" s="60" t="s">
        <v>266</v>
      </c>
      <c r="I29" s="62" t="s">
        <v>267</v>
      </c>
      <c r="J29" s="60" t="s">
        <v>268</v>
      </c>
      <c r="K29" s="62" t="s">
        <v>73</v>
      </c>
      <c r="L29" s="63" t="s">
        <v>74</v>
      </c>
      <c r="M29" s="63" t="s">
        <v>75</v>
      </c>
      <c r="N29" s="63" t="s">
        <v>110</v>
      </c>
      <c r="O29" s="64">
        <v>2520</v>
      </c>
      <c r="P29" s="120">
        <v>46190</v>
      </c>
      <c r="Q29" s="116" t="s">
        <v>269</v>
      </c>
      <c r="R29" s="159" t="s">
        <v>270</v>
      </c>
      <c r="S29" s="161">
        <v>46224</v>
      </c>
      <c r="T29" s="68">
        <f ca="1">IFERROR(IF(OR(Q29="Ejecutado",Q29="No corresponde atención OGTI",Q29="Desistido",Q29="-",Q29="Para reformulación"),"-",IF(OR(S29="-",S29=""),"Falta fecha_estado",NETWORKDAYS(S29,TODAY(),{"02/04/2026";"03/04/2026";"30/06/2026"}))),"-")</f>
        <v>9</v>
      </c>
      <c r="U29" s="69" t="s">
        <v>55</v>
      </c>
      <c r="V29" s="162" t="s">
        <v>271</v>
      </c>
      <c r="W29" s="82" t="s">
        <v>272</v>
      </c>
      <c r="X29" s="132" t="s">
        <v>273</v>
      </c>
      <c r="Y29" s="169" t="s">
        <v>74</v>
      </c>
      <c r="Z29" s="196" t="str">
        <f t="shared" ca="1" si="1"/>
        <v>En tramite</v>
      </c>
      <c r="AA29" s="173" t="s">
        <v>43</v>
      </c>
      <c r="AB29" s="74" t="s">
        <v>43</v>
      </c>
      <c r="AC29" s="157" t="str">
        <f>IFERROR(IF(OR(AA29="-",AA29="",AB29="-",AB29=""),"-",CONCATENATE('Seguimiento OIT'!AB29-'Seguimiento OIT'!AA29+1," dias")),"-")</f>
        <v>-</v>
      </c>
      <c r="AD29" s="114" t="str">
        <f t="shared" ca="1" si="2"/>
        <v>-</v>
      </c>
      <c r="AE29" s="74" t="s">
        <v>43</v>
      </c>
      <c r="AF29" s="85" t="s">
        <v>274</v>
      </c>
      <c r="AG29" s="138" t="s">
        <v>275</v>
      </c>
      <c r="AH29" s="218" t="s">
        <v>44</v>
      </c>
      <c r="AI29" s="219" t="str">
        <f t="shared" si="3"/>
        <v>-</v>
      </c>
      <c r="AJ29" s="219" t="str">
        <f t="shared" si="4"/>
        <v>-</v>
      </c>
      <c r="AK29" s="219" t="str">
        <f t="shared" si="5"/>
        <v>-</v>
      </c>
      <c r="AL29" s="225" t="str">
        <f t="shared" si="6"/>
        <v>-</v>
      </c>
    </row>
    <row r="30" spans="1:38" ht="44.1" customHeight="1">
      <c r="A30" s="97" t="s">
        <v>276</v>
      </c>
      <c r="B30" s="37" t="str">
        <f t="shared" ca="1" si="0"/>
        <v>SI</v>
      </c>
      <c r="C30" s="165" t="s">
        <v>43</v>
      </c>
      <c r="D30" s="61" t="s">
        <v>44</v>
      </c>
      <c r="E30" s="61" t="s">
        <v>45</v>
      </c>
      <c r="F30" s="61" t="s">
        <v>228</v>
      </c>
      <c r="G30" s="167" t="s">
        <v>47</v>
      </c>
      <c r="H30" s="60" t="s">
        <v>277</v>
      </c>
      <c r="I30" s="62" t="s">
        <v>278</v>
      </c>
      <c r="J30" s="60" t="s">
        <v>279</v>
      </c>
      <c r="K30" s="62" t="s">
        <v>73</v>
      </c>
      <c r="L30" s="63" t="s">
        <v>74</v>
      </c>
      <c r="M30" s="63" t="s">
        <v>75</v>
      </c>
      <c r="N30" s="63" t="s">
        <v>94</v>
      </c>
      <c r="O30" s="64" t="s">
        <v>280</v>
      </c>
      <c r="P30" s="120">
        <v>46177</v>
      </c>
      <c r="Q30" s="116" t="s">
        <v>281</v>
      </c>
      <c r="R30" s="159" t="s">
        <v>270</v>
      </c>
      <c r="S30" s="161">
        <v>46189</v>
      </c>
      <c r="T30" s="68">
        <f ca="1">IFERROR(IF(OR(Q30="Ejecutado",Q30="No corresponde atención OGTI",Q30="Desistido",Q30="-",Q30="Para reformulación"),"-",IF(OR(S30="-",S30=""),"Falta fecha_estado",NETWORKDAYS(S30,TODAY(),{"02/04/2026";"03/04/2026";"30/06/2026"}))),"-")</f>
        <v>33</v>
      </c>
      <c r="U30" s="69" t="s">
        <v>43</v>
      </c>
      <c r="V30" s="162" t="s">
        <v>43</v>
      </c>
      <c r="W30" s="82" t="s">
        <v>43</v>
      </c>
      <c r="X30" s="132" t="s">
        <v>43</v>
      </c>
      <c r="Y30" s="169" t="s">
        <v>43</v>
      </c>
      <c r="Z30" s="196" t="str">
        <f t="shared" ca="1" si="1"/>
        <v>En tramite</v>
      </c>
      <c r="AA30" s="173" t="s">
        <v>43</v>
      </c>
      <c r="AB30" s="74" t="s">
        <v>43</v>
      </c>
      <c r="AC30" s="157" t="str">
        <f>IFERROR(IF(OR(AA30="-",AA30="",AB30="-",AB30=""),"-",CONCATENATE('Seguimiento OIT'!AB30-'Seguimiento OIT'!AA30+1," dias")),"-")</f>
        <v>-</v>
      </c>
      <c r="AD30" s="114" t="str">
        <f t="shared" ca="1" si="2"/>
        <v>-</v>
      </c>
      <c r="AE30" s="87" t="s">
        <v>282</v>
      </c>
      <c r="AF30" s="85" t="s">
        <v>43</v>
      </c>
      <c r="AG30" s="138" t="s">
        <v>283</v>
      </c>
      <c r="AH30" s="218" t="s">
        <v>44</v>
      </c>
      <c r="AI30" s="219" t="str">
        <f t="shared" si="3"/>
        <v>-</v>
      </c>
      <c r="AJ30" s="219" t="str">
        <f t="shared" si="4"/>
        <v>-</v>
      </c>
      <c r="AK30" s="219" t="str">
        <f t="shared" si="5"/>
        <v>-</v>
      </c>
      <c r="AL30" s="225" t="str">
        <f t="shared" si="6"/>
        <v>-</v>
      </c>
    </row>
    <row r="31" spans="1:38" ht="44.1" customHeight="1">
      <c r="A31" s="97" t="s">
        <v>284</v>
      </c>
      <c r="B31" s="37" t="str">
        <f t="shared" ca="1" si="0"/>
        <v>NO</v>
      </c>
      <c r="C31" s="165" t="s">
        <v>43</v>
      </c>
      <c r="D31" s="61" t="s">
        <v>44</v>
      </c>
      <c r="E31" s="61" t="s">
        <v>45</v>
      </c>
      <c r="F31" s="61" t="s">
        <v>61</v>
      </c>
      <c r="G31" s="167" t="s">
        <v>47</v>
      </c>
      <c r="H31" s="60" t="s">
        <v>285</v>
      </c>
      <c r="I31" s="62" t="s">
        <v>286</v>
      </c>
      <c r="J31" s="60" t="s">
        <v>287</v>
      </c>
      <c r="K31" s="62" t="s">
        <v>73</v>
      </c>
      <c r="L31" s="63" t="s">
        <v>74</v>
      </c>
      <c r="M31" s="63" t="s">
        <v>75</v>
      </c>
      <c r="N31" s="63" t="s">
        <v>110</v>
      </c>
      <c r="O31" s="64" t="s">
        <v>43</v>
      </c>
      <c r="P31" s="120">
        <v>46181</v>
      </c>
      <c r="Q31" s="116" t="s">
        <v>288</v>
      </c>
      <c r="R31" s="159" t="s">
        <v>289</v>
      </c>
      <c r="S31" s="161">
        <v>46196</v>
      </c>
      <c r="T31" s="91" t="str">
        <f ca="1">IFERROR(IF(OR(Q31="Ejecutado",Q31="No corresponde atención OGTI",Q31="Desistido",Q31="-",Q31="Para reformulación"),"-",IF(OR(S31="-",S31=""),"Falta fecha_estado",NETWORKDAYS(S31,TODAY(),{"02/04/2026";"03/04/2026";"30/06/2026"}))),"-")</f>
        <v>-</v>
      </c>
      <c r="U31" s="69" t="s">
        <v>43</v>
      </c>
      <c r="V31" s="162" t="s">
        <v>43</v>
      </c>
      <c r="W31" s="82" t="s">
        <v>43</v>
      </c>
      <c r="X31" s="132" t="s">
        <v>43</v>
      </c>
      <c r="Y31" s="169" t="s">
        <v>43</v>
      </c>
      <c r="Z31" s="196" t="str">
        <f t="shared" ca="1" si="1"/>
        <v>Para reformulación</v>
      </c>
      <c r="AA31" s="154" t="s">
        <v>43</v>
      </c>
      <c r="AB31" s="82" t="s">
        <v>43</v>
      </c>
      <c r="AC31" s="157" t="str">
        <f>IFERROR(IF(OR(AA31="-",AA31="",AB31="-",AB31=""),"-",CONCATENATE('Seguimiento OIT'!AB31-'Seguimiento OIT'!AA31+1," dias")),"-")</f>
        <v>-</v>
      </c>
      <c r="AD31" s="114" t="str">
        <f t="shared" ca="1" si="2"/>
        <v>-</v>
      </c>
      <c r="AE31" s="87" t="s">
        <v>290</v>
      </c>
      <c r="AF31" s="82" t="s">
        <v>43</v>
      </c>
      <c r="AG31" s="138" t="s">
        <v>291</v>
      </c>
      <c r="AH31" s="218" t="s">
        <v>44</v>
      </c>
      <c r="AI31" s="219" t="str">
        <f t="shared" si="3"/>
        <v>-</v>
      </c>
      <c r="AJ31" s="219" t="str">
        <f t="shared" si="4"/>
        <v>-</v>
      </c>
      <c r="AK31" s="219" t="str">
        <f t="shared" si="5"/>
        <v>-</v>
      </c>
      <c r="AL31" s="225" t="str">
        <f t="shared" si="6"/>
        <v>-</v>
      </c>
    </row>
    <row r="32" spans="1:38" ht="44.1" customHeight="1">
      <c r="A32" s="97" t="s">
        <v>292</v>
      </c>
      <c r="B32" s="37" t="str">
        <f t="shared" ca="1" si="0"/>
        <v>NO</v>
      </c>
      <c r="C32" s="165" t="s">
        <v>43</v>
      </c>
      <c r="D32" s="61" t="s">
        <v>44</v>
      </c>
      <c r="E32" s="61" t="s">
        <v>45</v>
      </c>
      <c r="F32" s="61" t="s">
        <v>61</v>
      </c>
      <c r="G32" s="167" t="s">
        <v>47</v>
      </c>
      <c r="H32" s="60" t="s">
        <v>293</v>
      </c>
      <c r="I32" s="62" t="s">
        <v>286</v>
      </c>
      <c r="J32" s="60" t="s">
        <v>294</v>
      </c>
      <c r="K32" s="62" t="s">
        <v>73</v>
      </c>
      <c r="L32" s="63" t="s">
        <v>74</v>
      </c>
      <c r="M32" s="63" t="s">
        <v>75</v>
      </c>
      <c r="N32" s="63" t="s">
        <v>102</v>
      </c>
      <c r="O32" s="64" t="s">
        <v>43</v>
      </c>
      <c r="P32" s="120">
        <v>46181</v>
      </c>
      <c r="Q32" s="116" t="s">
        <v>288</v>
      </c>
      <c r="R32" s="159" t="s">
        <v>289</v>
      </c>
      <c r="S32" s="161">
        <v>46196</v>
      </c>
      <c r="T32" s="68" t="str">
        <f ca="1">IFERROR(IF(OR(Q32="Ejecutado",Q32="No corresponde atención OGTI",Q32="Desistido",Q32="-",Q32="Para reformulación"),"-",IF(OR(S32="-",S32=""),"Falta fecha_estado",NETWORKDAYS(S32,TODAY(),{"02/04/2026";"03/04/2026";"30/06/2026"}))),"-")</f>
        <v>-</v>
      </c>
      <c r="U32" s="69" t="s">
        <v>43</v>
      </c>
      <c r="V32" s="162" t="s">
        <v>43</v>
      </c>
      <c r="W32" s="82" t="s">
        <v>43</v>
      </c>
      <c r="X32" s="132" t="s">
        <v>43</v>
      </c>
      <c r="Y32" s="169" t="s">
        <v>43</v>
      </c>
      <c r="Z32" s="196" t="str">
        <f t="shared" ca="1" si="1"/>
        <v>Para reformulación</v>
      </c>
      <c r="AA32" s="154" t="s">
        <v>43</v>
      </c>
      <c r="AB32" s="82" t="s">
        <v>43</v>
      </c>
      <c r="AC32" s="157" t="str">
        <f>IFERROR(IF(OR(AA32="-",AA32="",AB32="-",AB32=""),"-",CONCATENATE('Seguimiento OIT'!AB32-'Seguimiento OIT'!AA32+1," dias")),"-")</f>
        <v>-</v>
      </c>
      <c r="AD32" s="114" t="str">
        <f t="shared" ca="1" si="2"/>
        <v>-</v>
      </c>
      <c r="AE32" s="87" t="s">
        <v>290</v>
      </c>
      <c r="AF32" s="82" t="s">
        <v>43</v>
      </c>
      <c r="AG32" s="138" t="s">
        <v>291</v>
      </c>
      <c r="AH32" s="218" t="s">
        <v>44</v>
      </c>
      <c r="AI32" s="219" t="str">
        <f t="shared" si="3"/>
        <v>-</v>
      </c>
      <c r="AJ32" s="219" t="str">
        <f t="shared" si="4"/>
        <v>-</v>
      </c>
      <c r="AK32" s="219" t="str">
        <f t="shared" si="5"/>
        <v>-</v>
      </c>
      <c r="AL32" s="225" t="str">
        <f t="shared" si="6"/>
        <v>-</v>
      </c>
    </row>
    <row r="33" spans="1:38" ht="44.1" customHeight="1">
      <c r="A33" s="98" t="s">
        <v>295</v>
      </c>
      <c r="B33" s="37" t="str">
        <f t="shared" ca="1" si="0"/>
        <v>SI</v>
      </c>
      <c r="C33" s="166" t="s">
        <v>43</v>
      </c>
      <c r="D33" s="61" t="s">
        <v>44</v>
      </c>
      <c r="E33" s="88" t="s">
        <v>45</v>
      </c>
      <c r="F33" s="88" t="s">
        <v>46</v>
      </c>
      <c r="G33" s="168" t="s">
        <v>69</v>
      </c>
      <c r="H33" s="84" t="s">
        <v>296</v>
      </c>
      <c r="I33" s="83" t="s">
        <v>297</v>
      </c>
      <c r="J33" s="84" t="s">
        <v>298</v>
      </c>
      <c r="K33" s="83" t="s">
        <v>222</v>
      </c>
      <c r="L33" s="80" t="s">
        <v>223</v>
      </c>
      <c r="M33" s="80" t="s">
        <v>223</v>
      </c>
      <c r="N33" s="80" t="s">
        <v>196</v>
      </c>
      <c r="O33" s="81">
        <v>42480</v>
      </c>
      <c r="P33" s="122"/>
      <c r="Q33" s="116" t="s">
        <v>54</v>
      </c>
      <c r="R33" s="159" t="s">
        <v>43</v>
      </c>
      <c r="S33" s="161" t="s">
        <v>43</v>
      </c>
      <c r="T33" s="68" t="str">
        <f ca="1">IFERROR(IF(OR(Q33="Ejecutado",Q33="No corresponde atención OGTI",Q33="Desistido",Q33="-",Q33="Para reformulación"),"-",IF(OR(S33="-",S33=""),"Falta fecha_estado",NETWORKDAYS(S33,TODAY(),{"02/04/2026";"03/04/2026";"30/06/2026"}))),"-")</f>
        <v>-</v>
      </c>
      <c r="U33" s="78" t="s">
        <v>224</v>
      </c>
      <c r="V33" s="154" t="s">
        <v>299</v>
      </c>
      <c r="W33" s="83">
        <v>46021</v>
      </c>
      <c r="X33" s="151" t="s">
        <v>300</v>
      </c>
      <c r="Y33" s="171" t="s">
        <v>223</v>
      </c>
      <c r="Z33" s="196" t="str">
        <f t="shared" ca="1" si="1"/>
        <v>Vigente</v>
      </c>
      <c r="AA33" s="174">
        <v>46047</v>
      </c>
      <c r="AB33" s="85">
        <v>46411</v>
      </c>
      <c r="AC33" s="157" t="str">
        <f>IFERROR(IF(OR(AA33="-",AA33="",AB33="-",AB33=""),"-",CONCATENATE('Seguimiento OIT'!AB33-'Seguimiento OIT'!AA33+1," dias")),"-")</f>
        <v>365 dias</v>
      </c>
      <c r="AD33" s="114" t="str">
        <f t="shared" ca="1" si="2"/>
        <v>-</v>
      </c>
      <c r="AE33" s="80" t="s">
        <v>43</v>
      </c>
      <c r="AF33" s="80"/>
      <c r="AG33" s="139" t="s">
        <v>301</v>
      </c>
      <c r="AH33" s="218" t="s">
        <v>44</v>
      </c>
      <c r="AI33" s="219" t="str">
        <f t="shared" si="3"/>
        <v>-</v>
      </c>
      <c r="AJ33" s="219" t="str">
        <f t="shared" si="4"/>
        <v>-</v>
      </c>
      <c r="AK33" s="219" t="str">
        <f t="shared" si="5"/>
        <v>-</v>
      </c>
      <c r="AL33" s="225" t="str">
        <f t="shared" si="6"/>
        <v>-</v>
      </c>
    </row>
    <row r="34" spans="1:38" ht="44.1" customHeight="1">
      <c r="A34" s="97" t="s">
        <v>302</v>
      </c>
      <c r="B34" s="37" t="str">
        <f t="shared" ca="1" si="0"/>
        <v>SI</v>
      </c>
      <c r="C34" s="165" t="s">
        <v>43</v>
      </c>
      <c r="D34" s="61" t="s">
        <v>44</v>
      </c>
      <c r="E34" s="61" t="s">
        <v>45</v>
      </c>
      <c r="F34" s="61" t="s">
        <v>61</v>
      </c>
      <c r="G34" s="167" t="s">
        <v>47</v>
      </c>
      <c r="H34" s="60" t="s">
        <v>303</v>
      </c>
      <c r="I34" s="62" t="s">
        <v>304</v>
      </c>
      <c r="J34" s="60" t="s">
        <v>305</v>
      </c>
      <c r="K34" s="62" t="s">
        <v>73</v>
      </c>
      <c r="L34" s="63" t="s">
        <v>74</v>
      </c>
      <c r="M34" s="63" t="s">
        <v>75</v>
      </c>
      <c r="N34" s="63" t="s">
        <v>94</v>
      </c>
      <c r="O34" s="64">
        <v>1966</v>
      </c>
      <c r="P34" s="120">
        <v>46185</v>
      </c>
      <c r="Q34" s="116" t="s">
        <v>306</v>
      </c>
      <c r="R34" s="159" t="s">
        <v>289</v>
      </c>
      <c r="S34" s="161">
        <v>46216</v>
      </c>
      <c r="T34" s="68">
        <f ca="1">IFERROR(IF(OR(Q34="Ejecutado",Q34="No corresponde atención OGTI",Q34="Desistido",Q34="-",Q34="Para reformulación"),"-",IF(OR(S34="-",S34=""),"Falta fecha_estado",NETWORKDAYS(S34,TODAY(),{"02/04/2026";"03/04/2026";"30/06/2026"}))),"-")</f>
        <v>15</v>
      </c>
      <c r="U34" s="69" t="s">
        <v>55</v>
      </c>
      <c r="V34" s="162" t="s">
        <v>307</v>
      </c>
      <c r="W34" s="82" t="s">
        <v>308</v>
      </c>
      <c r="X34" s="132" t="s">
        <v>309</v>
      </c>
      <c r="Y34" s="169" t="s">
        <v>74</v>
      </c>
      <c r="Z34" s="196" t="str">
        <f t="shared" ca="1" si="1"/>
        <v>Proceso de implementación/Activación/Entrega</v>
      </c>
      <c r="AA34" s="154" t="s">
        <v>43</v>
      </c>
      <c r="AB34" s="82" t="s">
        <v>43</v>
      </c>
      <c r="AC34" s="157" t="str">
        <f>IFERROR(IF(OR(AA34="-",AA34="",AB34="-",AB34=""),"-",CONCATENATE('Seguimiento OIT'!AB34-'Seguimiento OIT'!AA34+1," dias")),"-")</f>
        <v>-</v>
      </c>
      <c r="AD34" s="114" t="str">
        <f t="shared" ca="1" si="2"/>
        <v>-</v>
      </c>
      <c r="AE34" s="63" t="s">
        <v>43</v>
      </c>
      <c r="AF34" s="82" t="s">
        <v>1285</v>
      </c>
      <c r="AG34" s="138" t="s">
        <v>310</v>
      </c>
      <c r="AH34" s="218" t="s">
        <v>44</v>
      </c>
      <c r="AI34" s="219" t="str">
        <f t="shared" si="3"/>
        <v>-</v>
      </c>
      <c r="AJ34" s="219" t="str">
        <f t="shared" si="4"/>
        <v>-</v>
      </c>
      <c r="AK34" s="219" t="str">
        <f t="shared" si="5"/>
        <v>-</v>
      </c>
      <c r="AL34" s="225" t="str">
        <f t="shared" si="6"/>
        <v>-</v>
      </c>
    </row>
    <row r="35" spans="1:38" ht="44.1" customHeight="1">
      <c r="A35" s="97" t="s">
        <v>311</v>
      </c>
      <c r="B35" s="37" t="str">
        <f t="shared" ca="1" si="0"/>
        <v>NO</v>
      </c>
      <c r="C35" s="165" t="s">
        <v>43</v>
      </c>
      <c r="D35" s="61" t="s">
        <v>44</v>
      </c>
      <c r="E35" s="61" t="s">
        <v>45</v>
      </c>
      <c r="F35" s="61" t="s">
        <v>61</v>
      </c>
      <c r="G35" s="167" t="s">
        <v>47</v>
      </c>
      <c r="H35" s="60" t="s">
        <v>312</v>
      </c>
      <c r="I35" s="62" t="s">
        <v>278</v>
      </c>
      <c r="J35" s="60" t="s">
        <v>313</v>
      </c>
      <c r="K35" s="62" t="s">
        <v>73</v>
      </c>
      <c r="L35" s="63" t="s">
        <v>74</v>
      </c>
      <c r="M35" s="63" t="s">
        <v>75</v>
      </c>
      <c r="N35" s="63" t="s">
        <v>137</v>
      </c>
      <c r="O35" s="64" t="s">
        <v>43</v>
      </c>
      <c r="P35" s="120">
        <v>46127</v>
      </c>
      <c r="Q35" s="116" t="s">
        <v>314</v>
      </c>
      <c r="R35" s="159" t="s">
        <v>270</v>
      </c>
      <c r="S35" s="161">
        <v>46162</v>
      </c>
      <c r="T35" s="68" t="str">
        <f ca="1">IFERROR(IF(OR(Q35="Ejecutado",Q35="No corresponde atención OGTI",Q35="Desistido",Q35="-",Q35="Para reformulación"),"-",IF(OR(S35="-",S35=""),"Falta fecha_estado",NETWORKDAYS(S35,TODAY(),{"02/04/2026";"03/04/2026";"30/06/2026"}))),"-")</f>
        <v>-</v>
      </c>
      <c r="U35" s="69" t="s">
        <v>43</v>
      </c>
      <c r="V35" s="162" t="s">
        <v>43</v>
      </c>
      <c r="W35" s="82" t="s">
        <v>43</v>
      </c>
      <c r="X35" s="132" t="s">
        <v>43</v>
      </c>
      <c r="Y35" s="169" t="s">
        <v>43</v>
      </c>
      <c r="Z35" s="196" t="str">
        <f t="shared" ca="1" si="1"/>
        <v>Desistido</v>
      </c>
      <c r="AA35" s="154" t="s">
        <v>43</v>
      </c>
      <c r="AB35" s="82" t="s">
        <v>43</v>
      </c>
      <c r="AC35" s="157" t="str">
        <f>IFERROR(IF(OR(AA35="-",AA35="",AB35="-",AB35=""),"-",CONCATENATE('Seguimiento OIT'!AB35-'Seguimiento OIT'!AA35+1," dias")),"-")</f>
        <v>-</v>
      </c>
      <c r="AD35" s="114" t="str">
        <f t="shared" ca="1" si="2"/>
        <v>-</v>
      </c>
      <c r="AE35" s="63" t="s">
        <v>315</v>
      </c>
      <c r="AF35" s="82" t="s">
        <v>43</v>
      </c>
      <c r="AG35" s="138" t="s">
        <v>316</v>
      </c>
      <c r="AH35" s="218" t="s">
        <v>44</v>
      </c>
      <c r="AI35" s="219" t="str">
        <f t="shared" si="3"/>
        <v>-</v>
      </c>
      <c r="AJ35" s="219" t="str">
        <f t="shared" si="4"/>
        <v>-</v>
      </c>
      <c r="AK35" s="219" t="str">
        <f t="shared" si="5"/>
        <v>-</v>
      </c>
      <c r="AL35" s="225" t="str">
        <f t="shared" si="6"/>
        <v>-</v>
      </c>
    </row>
    <row r="36" spans="1:38" ht="44.1" customHeight="1">
      <c r="A36" s="97" t="s">
        <v>317</v>
      </c>
      <c r="B36" s="37" t="str">
        <f t="shared" ca="1" si="0"/>
        <v>NO</v>
      </c>
      <c r="C36" s="166" t="s">
        <v>43</v>
      </c>
      <c r="D36" s="61" t="s">
        <v>44</v>
      </c>
      <c r="E36" s="88" t="s">
        <v>45</v>
      </c>
      <c r="F36" s="88" t="s">
        <v>61</v>
      </c>
      <c r="G36" s="168" t="s">
        <v>69</v>
      </c>
      <c r="H36" s="84" t="s">
        <v>318</v>
      </c>
      <c r="I36" s="83" t="s">
        <v>319</v>
      </c>
      <c r="J36" s="84" t="s">
        <v>320</v>
      </c>
      <c r="K36" s="83" t="s">
        <v>222</v>
      </c>
      <c r="L36" s="80" t="s">
        <v>223</v>
      </c>
      <c r="M36" s="80" t="s">
        <v>120</v>
      </c>
      <c r="N36" s="80" t="s">
        <v>196</v>
      </c>
      <c r="O36" s="81" t="s">
        <v>43</v>
      </c>
      <c r="P36" s="122">
        <v>46104</v>
      </c>
      <c r="Q36" s="117" t="s">
        <v>314</v>
      </c>
      <c r="R36" s="132" t="s">
        <v>270</v>
      </c>
      <c r="S36" s="161">
        <v>46134</v>
      </c>
      <c r="T36" s="68" t="str">
        <f ca="1">IFERROR(IF(OR(Q36="Ejecutado",Q36="No corresponde atención OGTI",Q36="Desistido",Q36="-",Q36="Para reformulación"),"-",IF(OR(S36="-",S36=""),"Falta fecha_estado",NETWORKDAYS(S36,TODAY(),{"02/04/2026";"03/04/2026";"30/06/2026"}))),"-")</f>
        <v>-</v>
      </c>
      <c r="U36" s="78" t="s">
        <v>43</v>
      </c>
      <c r="V36" s="154" t="s">
        <v>43</v>
      </c>
      <c r="W36" s="82" t="s">
        <v>43</v>
      </c>
      <c r="X36" s="132" t="s">
        <v>43</v>
      </c>
      <c r="Y36" s="171" t="s">
        <v>43</v>
      </c>
      <c r="Z36" s="196" t="str">
        <f t="shared" ca="1" si="1"/>
        <v>Desistido</v>
      </c>
      <c r="AA36" s="154" t="s">
        <v>43</v>
      </c>
      <c r="AB36" s="82" t="s">
        <v>43</v>
      </c>
      <c r="AC36" s="157" t="str">
        <f>IFERROR(IF(OR(AA36="-",AA36="",AB36="-",AB36=""),"-",CONCATENATE('Seguimiento OIT'!AB36-'Seguimiento OIT'!AA36+1," dias")),"-")</f>
        <v>-</v>
      </c>
      <c r="AD36" s="114" t="str">
        <f t="shared" ca="1" si="2"/>
        <v>-</v>
      </c>
      <c r="AE36" s="80" t="s">
        <v>321</v>
      </c>
      <c r="AF36" s="82" t="s">
        <v>43</v>
      </c>
      <c r="AG36" s="132" t="s">
        <v>43</v>
      </c>
      <c r="AH36" s="218" t="s">
        <v>44</v>
      </c>
      <c r="AI36" s="219" t="str">
        <f t="shared" si="3"/>
        <v>-</v>
      </c>
      <c r="AJ36" s="219" t="str">
        <f t="shared" si="4"/>
        <v>-</v>
      </c>
      <c r="AK36" s="219" t="str">
        <f t="shared" si="5"/>
        <v>-</v>
      </c>
      <c r="AL36" s="225" t="str">
        <f t="shared" si="6"/>
        <v>-</v>
      </c>
    </row>
    <row r="37" spans="1:38" ht="44.1" customHeight="1">
      <c r="A37" s="97" t="s">
        <v>322</v>
      </c>
      <c r="B37" s="37" t="str">
        <f t="shared" ca="1" si="0"/>
        <v>NO</v>
      </c>
      <c r="C37" s="166" t="s">
        <v>43</v>
      </c>
      <c r="D37" s="61" t="s">
        <v>44</v>
      </c>
      <c r="E37" s="88" t="s">
        <v>45</v>
      </c>
      <c r="F37" s="88" t="s">
        <v>61</v>
      </c>
      <c r="G37" s="168" t="s">
        <v>47</v>
      </c>
      <c r="H37" s="84" t="s">
        <v>323</v>
      </c>
      <c r="I37" s="83" t="s">
        <v>324</v>
      </c>
      <c r="J37" s="84" t="s">
        <v>325</v>
      </c>
      <c r="K37" s="83" t="s">
        <v>73</v>
      </c>
      <c r="L37" s="80" t="s">
        <v>74</v>
      </c>
      <c r="M37" s="80" t="s">
        <v>75</v>
      </c>
      <c r="N37" s="80" t="s">
        <v>326</v>
      </c>
      <c r="O37" s="81" t="s">
        <v>43</v>
      </c>
      <c r="P37" s="122">
        <v>46136</v>
      </c>
      <c r="Q37" s="117" t="s">
        <v>314</v>
      </c>
      <c r="R37" s="132" t="s">
        <v>327</v>
      </c>
      <c r="S37" s="161">
        <v>46142</v>
      </c>
      <c r="T37" s="68" t="str">
        <f ca="1">IFERROR(IF(OR(Q37="Ejecutado",Q37="No corresponde atención OGTI",Q37="Desistido",Q37="-",Q37="Para reformulación"),"-",IF(OR(S37="-",S37=""),"Falta fecha_estado",NETWORKDAYS(S37,TODAY(),{"02/04/2026";"03/04/2026";"30/06/2026"}))),"-")</f>
        <v>-</v>
      </c>
      <c r="U37" s="78" t="s">
        <v>43</v>
      </c>
      <c r="V37" s="154" t="s">
        <v>43</v>
      </c>
      <c r="W37" s="82" t="s">
        <v>43</v>
      </c>
      <c r="X37" s="132" t="s">
        <v>43</v>
      </c>
      <c r="Y37" s="171" t="s">
        <v>43</v>
      </c>
      <c r="Z37" s="196" t="str">
        <f t="shared" ca="1" si="1"/>
        <v>Desistido</v>
      </c>
      <c r="AA37" s="154" t="s">
        <v>43</v>
      </c>
      <c r="AB37" s="82" t="s">
        <v>43</v>
      </c>
      <c r="AC37" s="157" t="str">
        <f>IFERROR(IF(OR(AA37="-",AA37="",AB37="-",AB37=""),"-",CONCATENATE('Seguimiento OIT'!AB37-'Seguimiento OIT'!AA37+1," dias")),"-")</f>
        <v>-</v>
      </c>
      <c r="AD37" s="114" t="str">
        <f t="shared" ca="1" si="2"/>
        <v>-</v>
      </c>
      <c r="AE37" s="80" t="s">
        <v>328</v>
      </c>
      <c r="AF37" s="82" t="s">
        <v>43</v>
      </c>
      <c r="AG37" s="139" t="s">
        <v>329</v>
      </c>
      <c r="AH37" s="218" t="s">
        <v>44</v>
      </c>
      <c r="AI37" s="219" t="str">
        <f t="shared" si="3"/>
        <v>-</v>
      </c>
      <c r="AJ37" s="219" t="str">
        <f t="shared" si="4"/>
        <v>-</v>
      </c>
      <c r="AK37" s="219" t="str">
        <f t="shared" si="5"/>
        <v>-</v>
      </c>
      <c r="AL37" s="225" t="str">
        <f t="shared" si="6"/>
        <v>-</v>
      </c>
    </row>
    <row r="38" spans="1:38" ht="44.1" customHeight="1">
      <c r="A38" s="97" t="s">
        <v>330</v>
      </c>
      <c r="B38" s="37" t="str">
        <f t="shared" ca="1" si="0"/>
        <v>SI</v>
      </c>
      <c r="C38" s="166" t="s">
        <v>43</v>
      </c>
      <c r="D38" s="61" t="s">
        <v>44</v>
      </c>
      <c r="E38" s="88" t="s">
        <v>45</v>
      </c>
      <c r="F38" s="88" t="s">
        <v>61</v>
      </c>
      <c r="G38" s="168" t="s">
        <v>69</v>
      </c>
      <c r="H38" s="84" t="s">
        <v>331</v>
      </c>
      <c r="I38" s="83" t="s">
        <v>332</v>
      </c>
      <c r="J38" s="84" t="s">
        <v>333</v>
      </c>
      <c r="K38" s="83" t="s">
        <v>119</v>
      </c>
      <c r="L38" s="80" t="s">
        <v>120</v>
      </c>
      <c r="M38" s="80" t="s">
        <v>120</v>
      </c>
      <c r="N38" s="80" t="s">
        <v>130</v>
      </c>
      <c r="O38" s="81">
        <v>25500</v>
      </c>
      <c r="P38" s="122">
        <v>46153</v>
      </c>
      <c r="Q38" s="116" t="s">
        <v>306</v>
      </c>
      <c r="R38" s="132" t="s">
        <v>327</v>
      </c>
      <c r="S38" s="161">
        <v>46182</v>
      </c>
      <c r="T38" s="68">
        <f ca="1">IFERROR(IF(OR(Q38="Ejecutado",Q38="No corresponde atención OGTI",Q38="Desistido",Q38="-",Q38="Para reformulación"),"-",IF(OR(S38="-",S38=""),"Falta fecha_estado",NETWORKDAYS(S38,TODAY(),{"02/04/2026";"03/04/2026";"30/06/2026"}))),"-")</f>
        <v>38</v>
      </c>
      <c r="U38" s="78" t="s">
        <v>224</v>
      </c>
      <c r="V38" s="154" t="s">
        <v>334</v>
      </c>
      <c r="W38" s="83">
        <v>46181</v>
      </c>
      <c r="X38" s="151" t="s">
        <v>335</v>
      </c>
      <c r="Y38" s="171" t="s">
        <v>120</v>
      </c>
      <c r="Z38" s="196" t="str">
        <f t="shared" ca="1" si="1"/>
        <v>Proceso de implementación/Activación/Entrega</v>
      </c>
      <c r="AA38" s="154" t="s">
        <v>43</v>
      </c>
      <c r="AB38" s="82" t="s">
        <v>43</v>
      </c>
      <c r="AC38" s="157" t="str">
        <f>IFERROR(IF(OR(AA38="-",AA38="",AB38="-",AB38=""),"-",CONCATENATE('Seguimiento OIT'!AB38-'Seguimiento OIT'!AA38+1," dias")),"-")</f>
        <v>-</v>
      </c>
      <c r="AD38" s="114" t="str">
        <f t="shared" ca="1" si="2"/>
        <v>-</v>
      </c>
      <c r="AE38" s="80" t="s">
        <v>43</v>
      </c>
      <c r="AF38" s="80" t="s">
        <v>336</v>
      </c>
      <c r="AG38" s="139" t="s">
        <v>337</v>
      </c>
      <c r="AH38" s="218" t="s">
        <v>44</v>
      </c>
      <c r="AI38" s="219" t="str">
        <f t="shared" si="3"/>
        <v>-</v>
      </c>
      <c r="AJ38" s="219" t="str">
        <f t="shared" si="4"/>
        <v>-</v>
      </c>
      <c r="AK38" s="219" t="str">
        <f t="shared" si="5"/>
        <v>-</v>
      </c>
      <c r="AL38" s="225" t="str">
        <f t="shared" si="6"/>
        <v>-</v>
      </c>
    </row>
    <row r="39" spans="1:38" ht="44.1" customHeight="1">
      <c r="A39" s="97" t="s">
        <v>338</v>
      </c>
      <c r="B39" s="37" t="str">
        <f t="shared" ca="1" si="0"/>
        <v>SI</v>
      </c>
      <c r="C39" s="166" t="s">
        <v>43</v>
      </c>
      <c r="D39" s="61" t="s">
        <v>44</v>
      </c>
      <c r="E39" s="88" t="s">
        <v>45</v>
      </c>
      <c r="F39" s="88" t="s">
        <v>61</v>
      </c>
      <c r="G39" s="168" t="s">
        <v>47</v>
      </c>
      <c r="H39" s="84" t="s">
        <v>339</v>
      </c>
      <c r="I39" s="83" t="s">
        <v>340</v>
      </c>
      <c r="J39" s="84" t="s">
        <v>341</v>
      </c>
      <c r="K39" s="83" t="s">
        <v>73</v>
      </c>
      <c r="L39" s="80" t="s">
        <v>74</v>
      </c>
      <c r="M39" s="80" t="s">
        <v>75</v>
      </c>
      <c r="N39" s="80" t="s">
        <v>110</v>
      </c>
      <c r="O39" s="81">
        <v>21830</v>
      </c>
      <c r="P39" s="122">
        <v>46139</v>
      </c>
      <c r="Q39" s="116" t="s">
        <v>306</v>
      </c>
      <c r="R39" s="132" t="s">
        <v>289</v>
      </c>
      <c r="S39" s="161">
        <v>46175</v>
      </c>
      <c r="T39" s="68">
        <f ca="1">IFERROR(IF(OR(Q39="Ejecutado",Q39="No corresponde atención OGTI",Q39="Desistido",Q39="-",Q39="Para reformulación"),"-",IF(OR(S39="-",S39=""),"Falta fecha_estado",NETWORKDAYS(S39,TODAY(),{"02/04/2026";"03/04/2026";"30/06/2026"}))),"-")</f>
        <v>43</v>
      </c>
      <c r="U39" s="78" t="s">
        <v>55</v>
      </c>
      <c r="V39" s="154" t="s">
        <v>342</v>
      </c>
      <c r="W39" s="83">
        <v>46174</v>
      </c>
      <c r="X39" s="151" t="s">
        <v>343</v>
      </c>
      <c r="Y39" s="171" t="s">
        <v>74</v>
      </c>
      <c r="Z39" s="196" t="str">
        <f t="shared" ca="1" si="1"/>
        <v>Proceso de implementación/Activación/Entrega</v>
      </c>
      <c r="AA39" s="154" t="s">
        <v>43</v>
      </c>
      <c r="AB39" s="82" t="s">
        <v>43</v>
      </c>
      <c r="AC39" s="157" t="str">
        <f>IFERROR(IF(OR(AA39="-",AA39="",AB39="-",AB39=""),"-",CONCATENATE('Seguimiento OIT'!AB39-'Seguimiento OIT'!AA39+1," dias")),"-")</f>
        <v>-</v>
      </c>
      <c r="AD39" s="114" t="str">
        <f t="shared" ca="1" si="2"/>
        <v>-</v>
      </c>
      <c r="AE39" s="80" t="s">
        <v>43</v>
      </c>
      <c r="AF39" s="213" t="s">
        <v>344</v>
      </c>
      <c r="AG39" s="139" t="s">
        <v>345</v>
      </c>
      <c r="AH39" s="218" t="s">
        <v>44</v>
      </c>
      <c r="AI39" s="219" t="str">
        <f t="shared" si="3"/>
        <v>-</v>
      </c>
      <c r="AJ39" s="219" t="str">
        <f t="shared" si="4"/>
        <v>-</v>
      </c>
      <c r="AK39" s="219" t="str">
        <f t="shared" si="5"/>
        <v>-</v>
      </c>
      <c r="AL39" s="225" t="str">
        <f t="shared" si="6"/>
        <v>-</v>
      </c>
    </row>
    <row r="40" spans="1:38" ht="49.5" customHeight="1">
      <c r="A40" s="97" t="s">
        <v>346</v>
      </c>
      <c r="B40" s="37" t="str">
        <f t="shared" ca="1" si="0"/>
        <v>SI</v>
      </c>
      <c r="C40" s="166" t="s">
        <v>43</v>
      </c>
      <c r="D40" s="61" t="s">
        <v>44</v>
      </c>
      <c r="E40" s="88" t="s">
        <v>45</v>
      </c>
      <c r="F40" s="88" t="s">
        <v>61</v>
      </c>
      <c r="G40" s="168" t="s">
        <v>47</v>
      </c>
      <c r="H40" s="84" t="s">
        <v>347</v>
      </c>
      <c r="I40" s="83" t="s">
        <v>340</v>
      </c>
      <c r="J40" s="84" t="s">
        <v>341</v>
      </c>
      <c r="K40" s="83" t="s">
        <v>73</v>
      </c>
      <c r="L40" s="80" t="s">
        <v>74</v>
      </c>
      <c r="M40" s="80" t="s">
        <v>75</v>
      </c>
      <c r="N40" s="80" t="s">
        <v>102</v>
      </c>
      <c r="O40" s="81">
        <v>21830</v>
      </c>
      <c r="P40" s="122">
        <v>46139</v>
      </c>
      <c r="Q40" s="116" t="s">
        <v>306</v>
      </c>
      <c r="R40" s="132" t="s">
        <v>289</v>
      </c>
      <c r="S40" s="161">
        <v>46175</v>
      </c>
      <c r="T40" s="68">
        <f ca="1">IFERROR(IF(OR(Q40="Ejecutado",Q40="No corresponde atención OGTI",Q40="Desistido",Q40="-",Q40="Para reformulación"),"-",IF(OR(S40="-",S40=""),"Falta fecha_estado",NETWORKDAYS(S40,TODAY(),{"02/04/2026";"03/04/2026";"30/06/2026"}))),"-")</f>
        <v>43</v>
      </c>
      <c r="U40" s="78" t="s">
        <v>55</v>
      </c>
      <c r="V40" s="154" t="s">
        <v>342</v>
      </c>
      <c r="W40" s="83">
        <v>46174</v>
      </c>
      <c r="X40" s="151" t="s">
        <v>343</v>
      </c>
      <c r="Y40" s="171" t="s">
        <v>74</v>
      </c>
      <c r="Z40" s="196" t="str">
        <f t="shared" ca="1" si="1"/>
        <v>Proceso de implementación/Activación/Entrega</v>
      </c>
      <c r="AA40" s="154" t="s">
        <v>43</v>
      </c>
      <c r="AB40" s="82" t="s">
        <v>43</v>
      </c>
      <c r="AC40" s="157" t="str">
        <f>IFERROR(IF(OR(AA40="-",AA40="",AB40="-",AB40=""),"-",CONCATENATE('Seguimiento OIT'!AB40-'Seguimiento OIT'!AA40+1," dias")),"-")</f>
        <v>-</v>
      </c>
      <c r="AD40" s="114" t="str">
        <f t="shared" ca="1" si="2"/>
        <v>-</v>
      </c>
      <c r="AE40" s="80" t="s">
        <v>43</v>
      </c>
      <c r="AF40" s="213" t="s">
        <v>344</v>
      </c>
      <c r="AG40" s="139" t="s">
        <v>345</v>
      </c>
      <c r="AH40" s="218" t="s">
        <v>44</v>
      </c>
      <c r="AI40" s="219" t="str">
        <f t="shared" si="3"/>
        <v>-</v>
      </c>
      <c r="AJ40" s="219" t="str">
        <f t="shared" si="4"/>
        <v>-</v>
      </c>
      <c r="AK40" s="219" t="str">
        <f t="shared" si="5"/>
        <v>-</v>
      </c>
      <c r="AL40" s="225" t="str">
        <f t="shared" si="6"/>
        <v>-</v>
      </c>
    </row>
    <row r="41" spans="1:38" ht="44.1" customHeight="1">
      <c r="A41" s="97" t="s">
        <v>348</v>
      </c>
      <c r="B41" s="37" t="str">
        <f t="shared" ca="1" si="0"/>
        <v>SI</v>
      </c>
      <c r="C41" s="165" t="s">
        <v>43</v>
      </c>
      <c r="D41" s="61" t="s">
        <v>44</v>
      </c>
      <c r="E41" s="61" t="s">
        <v>349</v>
      </c>
      <c r="F41" s="61" t="s">
        <v>46</v>
      </c>
      <c r="G41" s="167" t="s">
        <v>69</v>
      </c>
      <c r="H41" s="60" t="s">
        <v>350</v>
      </c>
      <c r="I41" s="62" t="s">
        <v>43</v>
      </c>
      <c r="J41" s="60" t="s">
        <v>351</v>
      </c>
      <c r="K41" s="62" t="s">
        <v>222</v>
      </c>
      <c r="L41" s="63" t="s">
        <v>223</v>
      </c>
      <c r="M41" s="63" t="s">
        <v>223</v>
      </c>
      <c r="N41" s="63" t="s">
        <v>196</v>
      </c>
      <c r="O41" s="64">
        <v>474624</v>
      </c>
      <c r="P41" s="120" t="s">
        <v>43</v>
      </c>
      <c r="Q41" s="116" t="s">
        <v>54</v>
      </c>
      <c r="R41" s="159" t="s">
        <v>43</v>
      </c>
      <c r="S41" s="161" t="s">
        <v>43</v>
      </c>
      <c r="T41" s="68" t="str">
        <f ca="1">IFERROR(IF(OR(Q41="Ejecutado",Q41="No corresponde atención OGTI",Q41="Desistido",Q41="-",Q41="Para reformulación"),"-",IF(OR(S41="-",S41=""),"Falta fecha_estado",NETWORKDAYS(S41,TODAY(),{"02/04/2026";"03/04/2026";"30/06/2026"}))),"-")</f>
        <v>-</v>
      </c>
      <c r="U41" s="69" t="s">
        <v>224</v>
      </c>
      <c r="V41" s="162" t="s">
        <v>352</v>
      </c>
      <c r="W41" s="62">
        <v>46050</v>
      </c>
      <c r="X41" s="150" t="s">
        <v>353</v>
      </c>
      <c r="Y41" s="169" t="s">
        <v>223</v>
      </c>
      <c r="Z41" s="196" t="str">
        <f t="shared" ca="1" si="1"/>
        <v>Vigente</v>
      </c>
      <c r="AA41" s="173">
        <v>46052</v>
      </c>
      <c r="AB41" s="74">
        <v>46416</v>
      </c>
      <c r="AC41" s="157" t="str">
        <f>IFERROR(IF(OR(AA41="-",AA41="",AB41="-",AB41=""),"-",CONCATENATE('Seguimiento OIT'!AB41-'Seguimiento OIT'!AA41+1," dias")),"-")</f>
        <v>365 dias</v>
      </c>
      <c r="AD41" s="114" t="str">
        <f t="shared" ca="1" si="2"/>
        <v>-</v>
      </c>
      <c r="AE41" s="63" t="s">
        <v>43</v>
      </c>
      <c r="AF41" s="63" t="s">
        <v>354</v>
      </c>
      <c r="AG41" s="138" t="s">
        <v>355</v>
      </c>
      <c r="AH41" s="218" t="s">
        <v>44</v>
      </c>
      <c r="AI41" s="219" t="str">
        <f t="shared" si="3"/>
        <v>-</v>
      </c>
      <c r="AJ41" s="219" t="str">
        <f t="shared" si="4"/>
        <v>-</v>
      </c>
      <c r="AK41" s="219" t="str">
        <f t="shared" si="5"/>
        <v>-</v>
      </c>
      <c r="AL41" s="225" t="str">
        <f t="shared" si="6"/>
        <v>-</v>
      </c>
    </row>
    <row r="42" spans="1:38" ht="44.1" customHeight="1">
      <c r="A42" s="99" t="s">
        <v>356</v>
      </c>
      <c r="B42" s="37" t="str">
        <f t="shared" ca="1" si="0"/>
        <v>SI</v>
      </c>
      <c r="C42" s="166" t="s">
        <v>43</v>
      </c>
      <c r="D42" s="61" t="s">
        <v>44</v>
      </c>
      <c r="E42" s="88" t="s">
        <v>45</v>
      </c>
      <c r="F42" s="88" t="s">
        <v>61</v>
      </c>
      <c r="G42" s="168" t="s">
        <v>69</v>
      </c>
      <c r="H42" s="84" t="s">
        <v>357</v>
      </c>
      <c r="I42" s="83" t="s">
        <v>358</v>
      </c>
      <c r="J42" s="84" t="s">
        <v>359</v>
      </c>
      <c r="K42" s="83" t="s">
        <v>222</v>
      </c>
      <c r="L42" s="80" t="s">
        <v>223</v>
      </c>
      <c r="M42" s="80" t="s">
        <v>223</v>
      </c>
      <c r="N42" s="80" t="s">
        <v>102</v>
      </c>
      <c r="O42" s="81">
        <v>3176</v>
      </c>
      <c r="P42" s="122"/>
      <c r="Q42" s="116" t="s">
        <v>54</v>
      </c>
      <c r="R42" s="159" t="s">
        <v>43</v>
      </c>
      <c r="S42" s="161" t="s">
        <v>43</v>
      </c>
      <c r="T42" s="68" t="str">
        <f ca="1">IFERROR(IF(OR(Q42="Ejecutado",Q42="No corresponde atención OGTI",Q42="Desistido",Q42="-",Q42="Para reformulación"),"-",IF(OR(S42="-",S42=""),"Falta fecha_estado",NETWORKDAYS(S42,TODAY(),{"02/04/2026";"03/04/2026";"30/06/2026"}))),"-")</f>
        <v>-</v>
      </c>
      <c r="U42" s="78" t="s">
        <v>43</v>
      </c>
      <c r="V42" s="154"/>
      <c r="W42" s="83">
        <v>46009</v>
      </c>
      <c r="X42" s="151" t="s">
        <v>189</v>
      </c>
      <c r="Y42" s="171" t="s">
        <v>223</v>
      </c>
      <c r="Z42" s="196" t="str">
        <f t="shared" ca="1" si="1"/>
        <v>Vigente</v>
      </c>
      <c r="AA42" s="174">
        <v>46037</v>
      </c>
      <c r="AB42" s="85">
        <v>46401</v>
      </c>
      <c r="AC42" s="157" t="str">
        <f>IFERROR(IF(OR(AA42="-",AA42="",AB42="-",AB42=""),"-",CONCATENATE('Seguimiento OIT'!AB42-'Seguimiento OIT'!AA42+1," dias")),"-")</f>
        <v>365 dias</v>
      </c>
      <c r="AD42" s="114" t="str">
        <f t="shared" ca="1" si="2"/>
        <v>-</v>
      </c>
      <c r="AE42" s="80" t="s">
        <v>43</v>
      </c>
      <c r="AF42" s="80" t="s">
        <v>360</v>
      </c>
      <c r="AG42" s="139"/>
      <c r="AH42" s="218" t="s">
        <v>44</v>
      </c>
      <c r="AI42" s="219" t="str">
        <f t="shared" si="3"/>
        <v>-</v>
      </c>
      <c r="AJ42" s="219" t="str">
        <f t="shared" si="4"/>
        <v>-</v>
      </c>
      <c r="AK42" s="219" t="str">
        <f t="shared" si="5"/>
        <v>-</v>
      </c>
      <c r="AL42" s="225" t="str">
        <f t="shared" si="6"/>
        <v>-</v>
      </c>
    </row>
    <row r="43" spans="1:38" ht="44.1" customHeight="1">
      <c r="A43" s="99" t="s">
        <v>361</v>
      </c>
      <c r="B43" s="37" t="str">
        <f t="shared" ca="1" si="0"/>
        <v>SI</v>
      </c>
      <c r="C43" s="166" t="s">
        <v>43</v>
      </c>
      <c r="D43" s="61" t="s">
        <v>44</v>
      </c>
      <c r="E43" s="88" t="s">
        <v>45</v>
      </c>
      <c r="F43" s="88" t="s">
        <v>61</v>
      </c>
      <c r="G43" s="168" t="s">
        <v>69</v>
      </c>
      <c r="H43" s="84" t="s">
        <v>362</v>
      </c>
      <c r="I43" s="83" t="s">
        <v>363</v>
      </c>
      <c r="J43" s="84" t="s">
        <v>364</v>
      </c>
      <c r="K43" s="83" t="s">
        <v>222</v>
      </c>
      <c r="L43" s="80" t="s">
        <v>223</v>
      </c>
      <c r="M43" s="80" t="s">
        <v>223</v>
      </c>
      <c r="N43" s="80" t="s">
        <v>196</v>
      </c>
      <c r="O43" s="81">
        <v>42700</v>
      </c>
      <c r="P43" s="122"/>
      <c r="Q43" s="116" t="s">
        <v>54</v>
      </c>
      <c r="R43" s="159" t="s">
        <v>43</v>
      </c>
      <c r="S43" s="161" t="s">
        <v>43</v>
      </c>
      <c r="T43" s="68" t="str">
        <f ca="1">IFERROR(IF(OR(Q43="Ejecutado",Q43="No corresponde atención OGTI",Q43="Desistido",Q43="-",Q43="Para reformulación"),"-",IF(OR(S43="-",S43=""),"Falta fecha_estado",NETWORKDAYS(S43,TODAY(),{"02/04/2026";"03/04/2026";"30/06/2026"}))),"-")</f>
        <v>-</v>
      </c>
      <c r="U43" s="78" t="s">
        <v>224</v>
      </c>
      <c r="V43" s="154"/>
      <c r="W43" s="83">
        <v>46015</v>
      </c>
      <c r="X43" s="151" t="s">
        <v>112</v>
      </c>
      <c r="Y43" s="171" t="s">
        <v>223</v>
      </c>
      <c r="Z43" s="196" t="str">
        <f t="shared" ca="1" si="1"/>
        <v>Vigente</v>
      </c>
      <c r="AA43" s="174">
        <v>46019</v>
      </c>
      <c r="AB43" s="85">
        <v>46382</v>
      </c>
      <c r="AC43" s="157" t="str">
        <f>IFERROR(IF(OR(AA43="-",AA43="",AB43="-",AB43=""),"-",CONCATENATE('Seguimiento OIT'!AB43-'Seguimiento OIT'!AA43+1," dias")),"-")</f>
        <v>364 dias</v>
      </c>
      <c r="AD43" s="114" t="str">
        <f t="shared" ca="1" si="2"/>
        <v>-</v>
      </c>
      <c r="AE43" s="80" t="s">
        <v>43</v>
      </c>
      <c r="AF43" s="80" t="s">
        <v>365</v>
      </c>
      <c r="AG43" s="139"/>
      <c r="AH43" s="218" t="s">
        <v>44</v>
      </c>
      <c r="AI43" s="219" t="str">
        <f t="shared" si="3"/>
        <v>-</v>
      </c>
      <c r="AJ43" s="219" t="str">
        <f t="shared" si="4"/>
        <v>-</v>
      </c>
      <c r="AK43" s="219" t="str">
        <f t="shared" si="5"/>
        <v>-</v>
      </c>
      <c r="AL43" s="225" t="str">
        <f t="shared" si="6"/>
        <v>-</v>
      </c>
    </row>
    <row r="44" spans="1:38" ht="58.5" customHeight="1">
      <c r="A44" s="97" t="s">
        <v>366</v>
      </c>
      <c r="B44" s="37" t="str">
        <f t="shared" ca="1" si="0"/>
        <v>NO</v>
      </c>
      <c r="C44" s="166" t="s">
        <v>43</v>
      </c>
      <c r="D44" s="61" t="s">
        <v>44</v>
      </c>
      <c r="E44" s="88" t="s">
        <v>45</v>
      </c>
      <c r="F44" s="88" t="s">
        <v>61</v>
      </c>
      <c r="G44" s="168" t="s">
        <v>69</v>
      </c>
      <c r="H44" s="84" t="s">
        <v>367</v>
      </c>
      <c r="I44" s="83" t="s">
        <v>368</v>
      </c>
      <c r="J44" s="60" t="s">
        <v>369</v>
      </c>
      <c r="K44" s="83" t="s">
        <v>370</v>
      </c>
      <c r="L44" s="80" t="s">
        <v>371</v>
      </c>
      <c r="M44" s="80" t="s">
        <v>372</v>
      </c>
      <c r="N44" s="80" t="s">
        <v>196</v>
      </c>
      <c r="O44" s="81">
        <v>40000</v>
      </c>
      <c r="P44" s="122">
        <v>46085</v>
      </c>
      <c r="Q44" s="116" t="s">
        <v>54</v>
      </c>
      <c r="R44" s="132" t="s">
        <v>43</v>
      </c>
      <c r="S44" s="161" t="s">
        <v>43</v>
      </c>
      <c r="T44" s="68" t="str">
        <f ca="1">IFERROR(IF(OR(Q44="Ejecutado",Q44="No corresponde atención OGTI",Q44="Desistido",Q44="-",Q44="Para reformulación"),"-",IF(OR(S44="-",S44=""),"Falta fecha_estado",NETWORKDAYS(S44,TODAY(),{"02/04/2026";"03/04/2026";"30/06/2026"}))),"-")</f>
        <v>-</v>
      </c>
      <c r="U44" s="78" t="s">
        <v>77</v>
      </c>
      <c r="V44" s="154" t="s">
        <v>373</v>
      </c>
      <c r="W44" s="83">
        <v>46150</v>
      </c>
      <c r="X44" s="151" t="s">
        <v>374</v>
      </c>
      <c r="Y44" s="171" t="s">
        <v>372</v>
      </c>
      <c r="Z44" s="196" t="str">
        <f t="shared" ca="1" si="1"/>
        <v>Culminado</v>
      </c>
      <c r="AA44" s="174" t="s">
        <v>375</v>
      </c>
      <c r="AB44" s="85" t="s">
        <v>376</v>
      </c>
      <c r="AC44" s="157" t="str">
        <f>IFERROR(IF(OR(AA44="-",AA44="",AB44="-",AB44=""),"-",CONCATENATE('Seguimiento OIT'!AB44-'Seguimiento OIT'!AA44+1," dias")),"-")</f>
        <v>-</v>
      </c>
      <c r="AD44" s="114" t="str">
        <f t="shared" ca="1" si="2"/>
        <v>-</v>
      </c>
      <c r="AE44" s="80" t="s">
        <v>43</v>
      </c>
      <c r="AF44" s="80" t="s">
        <v>377</v>
      </c>
      <c r="AG44" s="139" t="s">
        <v>378</v>
      </c>
      <c r="AH44" s="218" t="s">
        <v>44</v>
      </c>
      <c r="AI44" s="219" t="str">
        <f t="shared" si="3"/>
        <v>-</v>
      </c>
      <c r="AJ44" s="219" t="str">
        <f t="shared" si="4"/>
        <v>-</v>
      </c>
      <c r="AK44" s="219" t="str">
        <f t="shared" si="5"/>
        <v>-</v>
      </c>
      <c r="AL44" s="225" t="str">
        <f t="shared" si="6"/>
        <v>-</v>
      </c>
    </row>
    <row r="45" spans="1:38" ht="44.1" customHeight="1">
      <c r="A45" s="97" t="s">
        <v>379</v>
      </c>
      <c r="B45" s="37" t="str">
        <f t="shared" ca="1" si="0"/>
        <v>NO</v>
      </c>
      <c r="C45" s="166" t="s">
        <v>43</v>
      </c>
      <c r="D45" s="61" t="s">
        <v>44</v>
      </c>
      <c r="E45" s="88" t="s">
        <v>45</v>
      </c>
      <c r="F45" s="88" t="s">
        <v>61</v>
      </c>
      <c r="G45" s="168" t="s">
        <v>69</v>
      </c>
      <c r="H45" s="84" t="s">
        <v>380</v>
      </c>
      <c r="I45" s="83" t="s">
        <v>381</v>
      </c>
      <c r="J45" s="84" t="s">
        <v>382</v>
      </c>
      <c r="K45" s="83" t="s">
        <v>222</v>
      </c>
      <c r="L45" s="80" t="s">
        <v>223</v>
      </c>
      <c r="M45" s="80" t="s">
        <v>223</v>
      </c>
      <c r="N45" s="80" t="s">
        <v>196</v>
      </c>
      <c r="O45" s="81">
        <v>43966.8</v>
      </c>
      <c r="P45" s="122">
        <v>46107</v>
      </c>
      <c r="Q45" s="116" t="s">
        <v>54</v>
      </c>
      <c r="R45" s="159" t="s">
        <v>43</v>
      </c>
      <c r="S45" s="161" t="s">
        <v>43</v>
      </c>
      <c r="T45" s="68" t="str">
        <f ca="1">IFERROR(IF(OR(Q45="Ejecutado",Q45="No corresponde atención OGTI",Q45="Desistido",Q45="-",Q45="Para reformulación"),"-",IF(OR(S45="-",S45=""),"Falta fecha_estado",NETWORKDAYS(S45,TODAY(),{"02/04/2026";"03/04/2026";"30/06/2026"}))),"-")</f>
        <v>-</v>
      </c>
      <c r="U45" s="78" t="s">
        <v>77</v>
      </c>
      <c r="V45" s="154" t="s">
        <v>383</v>
      </c>
      <c r="W45" s="83">
        <v>46127</v>
      </c>
      <c r="X45" s="151" t="s">
        <v>384</v>
      </c>
      <c r="Y45" s="171" t="s">
        <v>223</v>
      </c>
      <c r="Z45" s="196" t="str">
        <f t="shared" ca="1" si="1"/>
        <v>Culminado</v>
      </c>
      <c r="AA45" s="174">
        <v>46133</v>
      </c>
      <c r="AB45" s="85">
        <v>46222</v>
      </c>
      <c r="AC45" s="157" t="str">
        <f>IFERROR(IF(OR(AA45="-",AA45="",AB45="-",AB45=""),"-",CONCATENATE('Seguimiento OIT'!AB45-'Seguimiento OIT'!AA45+1," dias")),"-")</f>
        <v>90 dias</v>
      </c>
      <c r="AD45" s="114" t="str">
        <f t="shared" ca="1" si="2"/>
        <v>-</v>
      </c>
      <c r="AE45" s="80" t="s">
        <v>43</v>
      </c>
      <c r="AF45" s="80" t="s">
        <v>385</v>
      </c>
      <c r="AG45" s="139" t="s">
        <v>386</v>
      </c>
      <c r="AH45" s="218" t="s">
        <v>44</v>
      </c>
      <c r="AI45" s="219" t="str">
        <f t="shared" si="3"/>
        <v>-</v>
      </c>
      <c r="AJ45" s="219" t="str">
        <f t="shared" si="4"/>
        <v>-</v>
      </c>
      <c r="AK45" s="219" t="str">
        <f t="shared" si="5"/>
        <v>-</v>
      </c>
      <c r="AL45" s="225" t="str">
        <f t="shared" si="6"/>
        <v>-</v>
      </c>
    </row>
    <row r="46" spans="1:38" ht="44.1" customHeight="1">
      <c r="A46" s="97" t="s">
        <v>387</v>
      </c>
      <c r="B46" s="37" t="str">
        <f t="shared" ca="1" si="0"/>
        <v>SI</v>
      </c>
      <c r="C46" s="166" t="s">
        <v>43</v>
      </c>
      <c r="D46" s="61" t="s">
        <v>44</v>
      </c>
      <c r="E46" s="88" t="s">
        <v>45</v>
      </c>
      <c r="F46" s="88" t="s">
        <v>61</v>
      </c>
      <c r="G46" s="168" t="s">
        <v>47</v>
      </c>
      <c r="H46" s="84" t="s">
        <v>388</v>
      </c>
      <c r="I46" s="83" t="s">
        <v>389</v>
      </c>
      <c r="J46" s="84" t="s">
        <v>390</v>
      </c>
      <c r="K46" s="83" t="s">
        <v>73</v>
      </c>
      <c r="L46" s="80" t="s">
        <v>74</v>
      </c>
      <c r="M46" s="80" t="s">
        <v>75</v>
      </c>
      <c r="N46" s="80" t="s">
        <v>391</v>
      </c>
      <c r="O46" s="81" t="s">
        <v>280</v>
      </c>
      <c r="P46" s="122">
        <v>46160</v>
      </c>
      <c r="Q46" s="117" t="s">
        <v>281</v>
      </c>
      <c r="R46" s="132" t="s">
        <v>270</v>
      </c>
      <c r="S46" s="161">
        <v>46174</v>
      </c>
      <c r="T46" s="68">
        <f ca="1">IFERROR(IF(OR(Q46="Ejecutado",Q46="No corresponde atención OGTI",Q46="Desistido",Q46="-",Q46="Para reformulación"),"-",IF(OR(S46="-",S46=""),"Falta fecha_estado",NETWORKDAYS(S46,TODAY(),{"02/04/2026";"03/04/2026";"30/06/2026"}))),"-")</f>
        <v>44</v>
      </c>
      <c r="U46" s="78" t="s">
        <v>43</v>
      </c>
      <c r="V46" s="154" t="s">
        <v>43</v>
      </c>
      <c r="W46" s="82" t="s">
        <v>43</v>
      </c>
      <c r="X46" s="132" t="s">
        <v>43</v>
      </c>
      <c r="Y46" s="171" t="s">
        <v>43</v>
      </c>
      <c r="Z46" s="196" t="str">
        <f t="shared" ca="1" si="1"/>
        <v>En tramite</v>
      </c>
      <c r="AA46" s="174" t="s">
        <v>43</v>
      </c>
      <c r="AB46" s="85" t="s">
        <v>43</v>
      </c>
      <c r="AC46" s="157" t="str">
        <f>IFERROR(IF(OR(AA46="-",AA46="",AB46="-",AB46=""),"-",CONCATENATE('Seguimiento OIT'!AB46-'Seguimiento OIT'!AA46+1," dias")),"-")</f>
        <v>-</v>
      </c>
      <c r="AD46" s="114" t="str">
        <f t="shared" ca="1" si="2"/>
        <v>-</v>
      </c>
      <c r="AE46" s="96" t="s">
        <v>392</v>
      </c>
      <c r="AF46" s="85" t="s">
        <v>43</v>
      </c>
      <c r="AG46" s="139" t="s">
        <v>393</v>
      </c>
      <c r="AH46" s="218" t="s">
        <v>44</v>
      </c>
      <c r="AI46" s="219" t="str">
        <f t="shared" si="3"/>
        <v>-</v>
      </c>
      <c r="AJ46" s="219" t="str">
        <f t="shared" si="4"/>
        <v>-</v>
      </c>
      <c r="AK46" s="219" t="str">
        <f t="shared" si="5"/>
        <v>-</v>
      </c>
      <c r="AL46" s="225" t="str">
        <f t="shared" si="6"/>
        <v>-</v>
      </c>
    </row>
    <row r="47" spans="1:38" ht="44.1" customHeight="1">
      <c r="A47" s="97" t="s">
        <v>394</v>
      </c>
      <c r="B47" s="37" t="str">
        <f t="shared" ca="1" si="0"/>
        <v>SI</v>
      </c>
      <c r="C47" s="166" t="s">
        <v>43</v>
      </c>
      <c r="D47" s="61" t="s">
        <v>44</v>
      </c>
      <c r="E47" s="88" t="s">
        <v>45</v>
      </c>
      <c r="F47" s="88" t="s">
        <v>61</v>
      </c>
      <c r="G47" s="168" t="s">
        <v>47</v>
      </c>
      <c r="H47" s="84" t="s">
        <v>395</v>
      </c>
      <c r="I47" s="83" t="s">
        <v>396</v>
      </c>
      <c r="J47" s="84" t="s">
        <v>397</v>
      </c>
      <c r="K47" s="83" t="s">
        <v>73</v>
      </c>
      <c r="L47" s="80" t="s">
        <v>74</v>
      </c>
      <c r="M47" s="80" t="s">
        <v>75</v>
      </c>
      <c r="N47" s="80" t="s">
        <v>391</v>
      </c>
      <c r="O47" s="81" t="s">
        <v>280</v>
      </c>
      <c r="P47" s="122">
        <v>46157</v>
      </c>
      <c r="Q47" s="117" t="s">
        <v>281</v>
      </c>
      <c r="R47" s="132" t="s">
        <v>270</v>
      </c>
      <c r="S47" s="161">
        <v>46169</v>
      </c>
      <c r="T47" s="68">
        <f ca="1">IFERROR(IF(OR(Q47="Ejecutado",Q47="No corresponde atención OGTI",Q47="Desistido",Q47="-",Q47="Para reformulación"),"-",IF(OR(S47="-",S47=""),"Falta fecha_estado",NETWORKDAYS(S47,TODAY(),{"02/04/2026";"03/04/2026";"30/06/2026"}))),"-")</f>
        <v>47</v>
      </c>
      <c r="U47" s="78" t="s">
        <v>43</v>
      </c>
      <c r="V47" s="154" t="s">
        <v>43</v>
      </c>
      <c r="W47" s="82" t="s">
        <v>43</v>
      </c>
      <c r="X47" s="132" t="s">
        <v>43</v>
      </c>
      <c r="Y47" s="171" t="s">
        <v>43</v>
      </c>
      <c r="Z47" s="196" t="str">
        <f t="shared" ca="1" si="1"/>
        <v>En tramite</v>
      </c>
      <c r="AA47" s="174" t="s">
        <v>43</v>
      </c>
      <c r="AB47" s="85" t="s">
        <v>43</v>
      </c>
      <c r="AC47" s="157" t="str">
        <f>IFERROR(IF(OR(AA47="-",AA47="",AB47="-",AB47=""),"-",CONCATENATE('Seguimiento OIT'!AB47-'Seguimiento OIT'!AA47+1," dias")),"-")</f>
        <v>-</v>
      </c>
      <c r="AD47" s="114" t="str">
        <f t="shared" ca="1" si="2"/>
        <v>-</v>
      </c>
      <c r="AE47" s="96" t="s">
        <v>398</v>
      </c>
      <c r="AF47" s="85" t="s">
        <v>43</v>
      </c>
      <c r="AG47" s="139" t="s">
        <v>399</v>
      </c>
      <c r="AH47" s="218" t="s">
        <v>44</v>
      </c>
      <c r="AI47" s="219" t="str">
        <f t="shared" si="3"/>
        <v>-</v>
      </c>
      <c r="AJ47" s="219" t="str">
        <f t="shared" si="4"/>
        <v>-</v>
      </c>
      <c r="AK47" s="219" t="str">
        <f t="shared" si="5"/>
        <v>-</v>
      </c>
      <c r="AL47" s="225" t="str">
        <f t="shared" si="6"/>
        <v>-</v>
      </c>
    </row>
    <row r="48" spans="1:38" ht="44.1" customHeight="1">
      <c r="A48" s="97" t="s">
        <v>400</v>
      </c>
      <c r="B48" s="37" t="str">
        <f t="shared" ca="1" si="0"/>
        <v>SI</v>
      </c>
      <c r="C48" s="166" t="s">
        <v>43</v>
      </c>
      <c r="D48" s="61" t="s">
        <v>44</v>
      </c>
      <c r="E48" s="88" t="s">
        <v>45</v>
      </c>
      <c r="F48" s="88" t="s">
        <v>61</v>
      </c>
      <c r="G48" s="168" t="s">
        <v>47</v>
      </c>
      <c r="H48" s="84" t="s">
        <v>401</v>
      </c>
      <c r="I48" s="83" t="s">
        <v>402</v>
      </c>
      <c r="J48" s="84" t="s">
        <v>403</v>
      </c>
      <c r="K48" s="83" t="s">
        <v>73</v>
      </c>
      <c r="L48" s="80" t="s">
        <v>74</v>
      </c>
      <c r="M48" s="80" t="s">
        <v>75</v>
      </c>
      <c r="N48" s="80" t="s">
        <v>404</v>
      </c>
      <c r="O48" s="81" t="s">
        <v>280</v>
      </c>
      <c r="P48" s="122">
        <v>46155</v>
      </c>
      <c r="Q48" s="117" t="s">
        <v>281</v>
      </c>
      <c r="R48" s="132" t="s">
        <v>270</v>
      </c>
      <c r="S48" s="161">
        <v>46178</v>
      </c>
      <c r="T48" s="68">
        <f ca="1">IFERROR(IF(OR(Q48="Ejecutado",Q48="No corresponde atención OGTI",Q48="Desistido",Q48="-",Q48="Para reformulación"),"-",IF(OR(S48="-",S48=""),"Falta fecha_estado",NETWORKDAYS(S48,TODAY(),{"02/04/2026";"03/04/2026";"30/06/2026"}))),"-")</f>
        <v>40</v>
      </c>
      <c r="U48" s="78" t="s">
        <v>43</v>
      </c>
      <c r="V48" s="154" t="s">
        <v>43</v>
      </c>
      <c r="W48" s="82" t="s">
        <v>43</v>
      </c>
      <c r="X48" s="132" t="s">
        <v>43</v>
      </c>
      <c r="Y48" s="171" t="s">
        <v>43</v>
      </c>
      <c r="Z48" s="196" t="str">
        <f t="shared" ca="1" si="1"/>
        <v>En tramite</v>
      </c>
      <c r="AA48" s="174" t="s">
        <v>43</v>
      </c>
      <c r="AB48" s="85" t="s">
        <v>43</v>
      </c>
      <c r="AC48" s="157" t="str">
        <f>IFERROR(IF(OR(AA48="-",AA48="",AB48="-",AB48=""),"-",CONCATENATE('Seguimiento OIT'!AB48-'Seguimiento OIT'!AA48+1," dias")),"-")</f>
        <v>-</v>
      </c>
      <c r="AD48" s="114" t="str">
        <f t="shared" ca="1" si="2"/>
        <v>-</v>
      </c>
      <c r="AE48" s="96" t="s">
        <v>405</v>
      </c>
      <c r="AF48" s="85" t="s">
        <v>43</v>
      </c>
      <c r="AG48" s="139" t="s">
        <v>406</v>
      </c>
      <c r="AH48" s="218" t="s">
        <v>44</v>
      </c>
      <c r="AI48" s="219" t="str">
        <f t="shared" si="3"/>
        <v>-</v>
      </c>
      <c r="AJ48" s="219" t="str">
        <f t="shared" si="4"/>
        <v>-</v>
      </c>
      <c r="AK48" s="219" t="str">
        <f t="shared" si="5"/>
        <v>-</v>
      </c>
      <c r="AL48" s="225" t="str">
        <f t="shared" si="6"/>
        <v>-</v>
      </c>
    </row>
    <row r="49" spans="1:38" ht="44.1" customHeight="1">
      <c r="A49" s="97" t="s">
        <v>407</v>
      </c>
      <c r="B49" s="37" t="str">
        <f t="shared" ca="1" si="0"/>
        <v>SI</v>
      </c>
      <c r="C49" s="166" t="s">
        <v>43</v>
      </c>
      <c r="D49" s="61" t="s">
        <v>44</v>
      </c>
      <c r="E49" s="88" t="s">
        <v>45</v>
      </c>
      <c r="F49" s="88" t="s">
        <v>61</v>
      </c>
      <c r="G49" s="168" t="s">
        <v>47</v>
      </c>
      <c r="H49" s="60" t="s">
        <v>408</v>
      </c>
      <c r="I49" s="83" t="s">
        <v>409</v>
      </c>
      <c r="J49" s="84" t="s">
        <v>279</v>
      </c>
      <c r="K49" s="83" t="s">
        <v>73</v>
      </c>
      <c r="L49" s="80" t="s">
        <v>74</v>
      </c>
      <c r="M49" s="80" t="s">
        <v>75</v>
      </c>
      <c r="N49" s="80" t="s">
        <v>110</v>
      </c>
      <c r="O49" s="81" t="s">
        <v>280</v>
      </c>
      <c r="P49" s="122">
        <v>46153</v>
      </c>
      <c r="Q49" s="117" t="s">
        <v>281</v>
      </c>
      <c r="R49" s="132" t="s">
        <v>270</v>
      </c>
      <c r="S49" s="161">
        <v>46168</v>
      </c>
      <c r="T49" s="68">
        <f ca="1">IFERROR(IF(OR(Q49="Ejecutado",Q49="No corresponde atención OGTI",Q49="Desistido",Q49="-",Q49="Para reformulación"),"-",IF(OR(S49="-",S49=""),"Falta fecha_estado",NETWORKDAYS(S49,TODAY(),{"02/04/2026";"03/04/2026";"30/06/2026"}))),"-")</f>
        <v>48</v>
      </c>
      <c r="U49" s="78" t="s">
        <v>43</v>
      </c>
      <c r="V49" s="154" t="s">
        <v>43</v>
      </c>
      <c r="W49" s="82" t="s">
        <v>43</v>
      </c>
      <c r="X49" s="132" t="s">
        <v>43</v>
      </c>
      <c r="Y49" s="171" t="s">
        <v>43</v>
      </c>
      <c r="Z49" s="196" t="str">
        <f t="shared" ca="1" si="1"/>
        <v>En tramite</v>
      </c>
      <c r="AA49" s="154" t="s">
        <v>43</v>
      </c>
      <c r="AB49" s="82" t="s">
        <v>43</v>
      </c>
      <c r="AC49" s="157" t="str">
        <f>IFERROR(IF(OR(AA49="-",AA49="",AB49="-",AB49=""),"-",CONCATENATE('Seguimiento OIT'!AB49-'Seguimiento OIT'!AA49+1," dias")),"-")</f>
        <v>-</v>
      </c>
      <c r="AD49" s="114" t="str">
        <f t="shared" ca="1" si="2"/>
        <v>-</v>
      </c>
      <c r="AE49" s="96" t="s">
        <v>410</v>
      </c>
      <c r="AF49" s="82" t="s">
        <v>43</v>
      </c>
      <c r="AG49" s="139" t="s">
        <v>411</v>
      </c>
      <c r="AH49" s="218" t="s">
        <v>44</v>
      </c>
      <c r="AI49" s="219" t="str">
        <f t="shared" si="3"/>
        <v>-</v>
      </c>
      <c r="AJ49" s="219" t="str">
        <f t="shared" si="4"/>
        <v>-</v>
      </c>
      <c r="AK49" s="219" t="str">
        <f t="shared" si="5"/>
        <v>-</v>
      </c>
      <c r="AL49" s="225" t="str">
        <f t="shared" si="6"/>
        <v>-</v>
      </c>
    </row>
    <row r="50" spans="1:38" ht="44.1" customHeight="1">
      <c r="A50" s="97" t="s">
        <v>412</v>
      </c>
      <c r="B50" s="37" t="str">
        <f t="shared" ca="1" si="0"/>
        <v>SI</v>
      </c>
      <c r="C50" s="166" t="s">
        <v>43</v>
      </c>
      <c r="D50" s="61" t="s">
        <v>44</v>
      </c>
      <c r="E50" s="88" t="s">
        <v>349</v>
      </c>
      <c r="F50" s="88" t="s">
        <v>61</v>
      </c>
      <c r="G50" s="168" t="s">
        <v>47</v>
      </c>
      <c r="H50" s="84" t="s">
        <v>413</v>
      </c>
      <c r="I50" s="83" t="s">
        <v>414</v>
      </c>
      <c r="J50" s="84" t="s">
        <v>415</v>
      </c>
      <c r="K50" s="83" t="s">
        <v>73</v>
      </c>
      <c r="L50" s="80" t="s">
        <v>74</v>
      </c>
      <c r="M50" s="80" t="s">
        <v>75</v>
      </c>
      <c r="N50" s="80" t="s">
        <v>110</v>
      </c>
      <c r="O50" s="81" t="s">
        <v>280</v>
      </c>
      <c r="P50" s="122">
        <v>46155</v>
      </c>
      <c r="Q50" s="117" t="s">
        <v>281</v>
      </c>
      <c r="R50" s="132" t="s">
        <v>270</v>
      </c>
      <c r="S50" s="161">
        <v>46182</v>
      </c>
      <c r="T50" s="68">
        <f ca="1">IFERROR(IF(OR(Q50="Ejecutado",Q50="No corresponde atención OGTI",Q50="Desistido",Q50="-",Q50="Para reformulación"),"-",IF(OR(S50="-",S50=""),"Falta fecha_estado",NETWORKDAYS(S50,TODAY(),{"02/04/2026";"03/04/2026";"30/06/2026"}))),"-")</f>
        <v>38</v>
      </c>
      <c r="U50" s="78" t="s">
        <v>43</v>
      </c>
      <c r="V50" s="154" t="s">
        <v>43</v>
      </c>
      <c r="W50" s="82" t="s">
        <v>43</v>
      </c>
      <c r="X50" s="132" t="s">
        <v>43</v>
      </c>
      <c r="Y50" s="171" t="s">
        <v>43</v>
      </c>
      <c r="Z50" s="196" t="str">
        <f t="shared" ca="1" si="1"/>
        <v>En tramite</v>
      </c>
      <c r="AA50" s="154" t="s">
        <v>43</v>
      </c>
      <c r="AB50" s="82" t="s">
        <v>43</v>
      </c>
      <c r="AC50" s="157" t="str">
        <f>IFERROR(IF(OR(AA50="-",AA50="",AB50="-",AB50=""),"-",CONCATENATE('Seguimiento OIT'!AB50-'Seguimiento OIT'!AA50+1," dias")),"-")</f>
        <v>-</v>
      </c>
      <c r="AD50" s="114" t="str">
        <f t="shared" ca="1" si="2"/>
        <v>-</v>
      </c>
      <c r="AE50" s="96" t="s">
        <v>416</v>
      </c>
      <c r="AF50" s="82" t="s">
        <v>43</v>
      </c>
      <c r="AG50" s="139" t="s">
        <v>417</v>
      </c>
      <c r="AH50" s="218" t="s">
        <v>44</v>
      </c>
      <c r="AI50" s="219" t="str">
        <f t="shared" si="3"/>
        <v>-</v>
      </c>
      <c r="AJ50" s="219" t="str">
        <f t="shared" si="4"/>
        <v>-</v>
      </c>
      <c r="AK50" s="219" t="str">
        <f t="shared" si="5"/>
        <v>-</v>
      </c>
      <c r="AL50" s="225" t="str">
        <f t="shared" si="6"/>
        <v>-</v>
      </c>
    </row>
    <row r="51" spans="1:38" ht="44.1" customHeight="1">
      <c r="A51" s="97" t="s">
        <v>418</v>
      </c>
      <c r="B51" s="37" t="str">
        <f t="shared" ca="1" si="0"/>
        <v>SI</v>
      </c>
      <c r="C51" s="166" t="s">
        <v>43</v>
      </c>
      <c r="D51" s="61" t="s">
        <v>44</v>
      </c>
      <c r="E51" s="88" t="s">
        <v>45</v>
      </c>
      <c r="F51" s="88" t="s">
        <v>61</v>
      </c>
      <c r="G51" s="168" t="s">
        <v>69</v>
      </c>
      <c r="H51" s="84" t="s">
        <v>419</v>
      </c>
      <c r="I51" s="83" t="s">
        <v>420</v>
      </c>
      <c r="J51" s="84" t="s">
        <v>421</v>
      </c>
      <c r="K51" s="83" t="s">
        <v>119</v>
      </c>
      <c r="L51" s="80" t="s">
        <v>120</v>
      </c>
      <c r="M51" s="80" t="s">
        <v>75</v>
      </c>
      <c r="N51" s="80" t="s">
        <v>130</v>
      </c>
      <c r="O51" s="81" t="s">
        <v>280</v>
      </c>
      <c r="P51" s="122">
        <v>46216</v>
      </c>
      <c r="Q51" s="117" t="s">
        <v>422</v>
      </c>
      <c r="R51" s="132" t="s">
        <v>423</v>
      </c>
      <c r="S51" s="153">
        <v>46219</v>
      </c>
      <c r="T51" s="68">
        <f ca="1">IFERROR(IF(OR(Q51="Ejecutado",Q51="No corresponde atención OGTI",Q51="Desistido",Q51="-",Q51="Para reformulación"),"-",IF(OR(S51="-",S51=""),"Falta fecha_estado",NETWORKDAYS(S51,TODAY(),{"02/04/2026";"03/04/2026";"30/06/2026"}))),"-")</f>
        <v>12</v>
      </c>
      <c r="U51" s="78" t="s">
        <v>43</v>
      </c>
      <c r="V51" s="154" t="s">
        <v>43</v>
      </c>
      <c r="W51" s="82" t="s">
        <v>43</v>
      </c>
      <c r="X51" s="132" t="s">
        <v>43</v>
      </c>
      <c r="Y51" s="171" t="s">
        <v>43</v>
      </c>
      <c r="Z51" s="196" t="str">
        <f t="shared" ca="1" si="1"/>
        <v>En tramite</v>
      </c>
      <c r="AA51" s="154" t="s">
        <v>43</v>
      </c>
      <c r="AB51" s="82" t="s">
        <v>43</v>
      </c>
      <c r="AC51" s="157" t="str">
        <f>IFERROR(IF(OR(AA51="-",AA51="",AB51="-",AB51=""),"-",CONCATENATE('Seguimiento OIT'!AB51-'Seguimiento OIT'!AA51+1," dias")),"-")</f>
        <v>-</v>
      </c>
      <c r="AD51" s="114" t="str">
        <f t="shared" ca="1" si="2"/>
        <v>-</v>
      </c>
      <c r="AE51" s="96" t="s">
        <v>424</v>
      </c>
      <c r="AF51" s="82" t="s">
        <v>43</v>
      </c>
      <c r="AG51" s="139" t="s">
        <v>425</v>
      </c>
      <c r="AH51" s="218" t="s">
        <v>44</v>
      </c>
      <c r="AI51" s="219" t="str">
        <f t="shared" si="3"/>
        <v>-</v>
      </c>
      <c r="AJ51" s="219" t="str">
        <f t="shared" si="4"/>
        <v>-</v>
      </c>
      <c r="AK51" s="219" t="str">
        <f t="shared" si="5"/>
        <v>-</v>
      </c>
      <c r="AL51" s="225" t="str">
        <f t="shared" si="6"/>
        <v>-</v>
      </c>
    </row>
    <row r="52" spans="1:38" ht="44.1" customHeight="1">
      <c r="A52" s="97" t="s">
        <v>426</v>
      </c>
      <c r="B52" s="37" t="str">
        <f t="shared" ca="1" si="0"/>
        <v>SI</v>
      </c>
      <c r="C52" s="166" t="s">
        <v>43</v>
      </c>
      <c r="D52" s="61" t="s">
        <v>44</v>
      </c>
      <c r="E52" s="88" t="s">
        <v>45</v>
      </c>
      <c r="F52" s="88" t="s">
        <v>61</v>
      </c>
      <c r="G52" s="168" t="s">
        <v>69</v>
      </c>
      <c r="H52" s="84" t="s">
        <v>427</v>
      </c>
      <c r="I52" s="83" t="s">
        <v>428</v>
      </c>
      <c r="J52" s="84" t="s">
        <v>429</v>
      </c>
      <c r="K52" s="83" t="s">
        <v>119</v>
      </c>
      <c r="L52" s="80" t="s">
        <v>120</v>
      </c>
      <c r="M52" s="80" t="s">
        <v>75</v>
      </c>
      <c r="N52" s="80" t="s">
        <v>130</v>
      </c>
      <c r="O52" s="81" t="s">
        <v>280</v>
      </c>
      <c r="P52" s="122">
        <v>46216</v>
      </c>
      <c r="Q52" s="117" t="s">
        <v>430</v>
      </c>
      <c r="R52" s="132" t="s">
        <v>423</v>
      </c>
      <c r="S52" s="153">
        <v>46227</v>
      </c>
      <c r="T52" s="68">
        <f ca="1">IFERROR(IF(OR(Q52="Ejecutado",Q52="No corresponde atención OGTI",Q52="Desistido",Q52="-",Q52="Para reformulación"),"-",IF(OR(S52="-",S52=""),"Falta fecha_estado",NETWORKDAYS(S52,TODAY(),{"02/04/2026";"03/04/2026";"30/06/2026"}))),"-")</f>
        <v>6</v>
      </c>
      <c r="U52" s="78" t="s">
        <v>43</v>
      </c>
      <c r="V52" s="154" t="s">
        <v>43</v>
      </c>
      <c r="W52" s="82" t="s">
        <v>43</v>
      </c>
      <c r="X52" s="132" t="s">
        <v>43</v>
      </c>
      <c r="Y52" s="171" t="s">
        <v>43</v>
      </c>
      <c r="Z52" s="196" t="str">
        <f t="shared" ca="1" si="1"/>
        <v>En tramite</v>
      </c>
      <c r="AA52" s="154" t="s">
        <v>43</v>
      </c>
      <c r="AB52" s="82" t="s">
        <v>43</v>
      </c>
      <c r="AC52" s="157" t="str">
        <f>IFERROR(IF(OR(AA52="-",AA52="",AB52="-",AB52=""),"-",CONCATENATE('Seguimiento OIT'!AB52-'Seguimiento OIT'!AA52+1," dias")),"-")</f>
        <v>-</v>
      </c>
      <c r="AD52" s="114" t="str">
        <f t="shared" ca="1" si="2"/>
        <v>-</v>
      </c>
      <c r="AE52" s="80" t="s">
        <v>43</v>
      </c>
      <c r="AF52" s="82" t="s">
        <v>43</v>
      </c>
      <c r="AG52" s="139" t="s">
        <v>431</v>
      </c>
      <c r="AH52" s="218" t="s">
        <v>44</v>
      </c>
      <c r="AI52" s="219" t="str">
        <f t="shared" si="3"/>
        <v>-</v>
      </c>
      <c r="AJ52" s="219" t="str">
        <f t="shared" si="4"/>
        <v>-</v>
      </c>
      <c r="AK52" s="219" t="str">
        <f t="shared" si="5"/>
        <v>-</v>
      </c>
      <c r="AL52" s="225" t="str">
        <f t="shared" si="6"/>
        <v>-</v>
      </c>
    </row>
    <row r="53" spans="1:38" ht="44.1" customHeight="1">
      <c r="A53" s="97" t="s">
        <v>432</v>
      </c>
      <c r="B53" s="37" t="str">
        <f t="shared" ca="1" si="0"/>
        <v>SI</v>
      </c>
      <c r="C53" s="166" t="s">
        <v>43</v>
      </c>
      <c r="D53" s="61" t="s">
        <v>44</v>
      </c>
      <c r="E53" s="88" t="s">
        <v>349</v>
      </c>
      <c r="F53" s="88" t="s">
        <v>433</v>
      </c>
      <c r="G53" s="168" t="s">
        <v>69</v>
      </c>
      <c r="H53" s="84" t="s">
        <v>434</v>
      </c>
      <c r="I53" s="83" t="s">
        <v>435</v>
      </c>
      <c r="J53" s="84" t="s">
        <v>436</v>
      </c>
      <c r="K53" s="83" t="s">
        <v>73</v>
      </c>
      <c r="L53" s="80" t="s">
        <v>74</v>
      </c>
      <c r="M53" s="80" t="s">
        <v>74</v>
      </c>
      <c r="N53" s="80" t="s">
        <v>437</v>
      </c>
      <c r="O53" s="81">
        <v>142110</v>
      </c>
      <c r="P53" s="122">
        <v>45891</v>
      </c>
      <c r="Q53" s="117" t="s">
        <v>54</v>
      </c>
      <c r="R53" s="132" t="s">
        <v>43</v>
      </c>
      <c r="S53" s="153"/>
      <c r="T53" s="68" t="str">
        <f ca="1">IFERROR(IF(OR(Q53="Ejecutado",Q53="No corresponde atención OGTI",Q53="Desistido",Q53="-",Q53="Para reformulación"),"-",IF(OR(S53="-",S53=""),"Falta fecha_estado",NETWORKDAYS(S53,TODAY(),{"02/04/2026";"03/04/2026";"30/06/2026"}))),"-")</f>
        <v>-</v>
      </c>
      <c r="U53" s="78" t="s">
        <v>438</v>
      </c>
      <c r="V53" s="154" t="s">
        <v>439</v>
      </c>
      <c r="W53" s="83">
        <v>45905</v>
      </c>
      <c r="X53" s="151" t="s">
        <v>440</v>
      </c>
      <c r="Y53" s="171" t="s">
        <v>74</v>
      </c>
      <c r="Z53" s="196" t="str">
        <f t="shared" ca="1" si="1"/>
        <v>Vigente_por vencer</v>
      </c>
      <c r="AA53" s="174">
        <v>45905</v>
      </c>
      <c r="AB53" s="125">
        <v>46295</v>
      </c>
      <c r="AC53" s="157" t="str">
        <f>IFERROR(IF(OR(AA53="-",AA53="",AB53="-",AB53=""),"-",CONCATENATE('Seguimiento OIT'!AB53-'Seguimiento OIT'!AA53+1," dias")),"-")</f>
        <v>391 dias</v>
      </c>
      <c r="AD53" s="114" t="str">
        <f t="shared" ca="1" si="2"/>
        <v>-</v>
      </c>
      <c r="AE53" s="80" t="s">
        <v>43</v>
      </c>
      <c r="AF53" s="82" t="s">
        <v>441</v>
      </c>
      <c r="AG53" s="140" t="s">
        <v>442</v>
      </c>
      <c r="AH53" s="218" t="s">
        <v>44</v>
      </c>
      <c r="AI53" s="219" t="str">
        <f t="shared" si="3"/>
        <v>-</v>
      </c>
      <c r="AJ53" s="219" t="str">
        <f t="shared" si="4"/>
        <v>-</v>
      </c>
      <c r="AK53" s="219" t="str">
        <f t="shared" si="5"/>
        <v>-</v>
      </c>
      <c r="AL53" s="225" t="str">
        <f t="shared" si="6"/>
        <v>-</v>
      </c>
    </row>
    <row r="54" spans="1:38" ht="44.1" customHeight="1">
      <c r="A54" s="97" t="s">
        <v>443</v>
      </c>
      <c r="B54" s="37" t="str">
        <f t="shared" ca="1" si="0"/>
        <v>SI</v>
      </c>
      <c r="C54" s="166" t="s">
        <v>43</v>
      </c>
      <c r="D54" s="61" t="s">
        <v>44</v>
      </c>
      <c r="E54" s="88" t="s">
        <v>45</v>
      </c>
      <c r="F54" s="88" t="s">
        <v>61</v>
      </c>
      <c r="G54" s="168" t="s">
        <v>69</v>
      </c>
      <c r="H54" s="84" t="s">
        <v>444</v>
      </c>
      <c r="I54" s="83" t="s">
        <v>445</v>
      </c>
      <c r="J54" s="84" t="s">
        <v>446</v>
      </c>
      <c r="K54" s="83" t="s">
        <v>73</v>
      </c>
      <c r="L54" s="80" t="s">
        <v>74</v>
      </c>
      <c r="M54" s="80" t="s">
        <v>74</v>
      </c>
      <c r="N54" s="80" t="s">
        <v>102</v>
      </c>
      <c r="O54" s="81">
        <v>27760</v>
      </c>
      <c r="P54" s="122">
        <v>45139</v>
      </c>
      <c r="Q54" s="117" t="s">
        <v>54</v>
      </c>
      <c r="R54" s="132" t="s">
        <v>43</v>
      </c>
      <c r="S54" s="153"/>
      <c r="T54" s="68" t="str">
        <f ca="1">IFERROR(IF(OR(Q54="Ejecutado",Q54="No corresponde atención OGTI",Q54="Desistido",Q54="-",Q54="Para reformulación"),"-",IF(OR(S54="-",S54=""),"Falta fecha_estado",NETWORKDAYS(S54,TODAY(),{"02/04/2026";"03/04/2026";"30/06/2026"}))),"-")</f>
        <v>-</v>
      </c>
      <c r="U54" s="78" t="s">
        <v>224</v>
      </c>
      <c r="V54" s="154" t="s">
        <v>447</v>
      </c>
      <c r="W54" s="83">
        <v>45384</v>
      </c>
      <c r="X54" s="151" t="s">
        <v>448</v>
      </c>
      <c r="Y54" s="171" t="s">
        <v>74</v>
      </c>
      <c r="Z54" s="196" t="str">
        <f t="shared" ca="1" si="1"/>
        <v>Vigente_por vencer</v>
      </c>
      <c r="AA54" s="174">
        <v>45580</v>
      </c>
      <c r="AB54" s="85">
        <v>46309</v>
      </c>
      <c r="AC54" s="157" t="str">
        <f>IFERROR(IF(OR(AA54="-",AA54="",AB54="-",AB54=""),"-",CONCATENATE('Seguimiento OIT'!AB54-'Seguimiento OIT'!AA54+1," dias")),"-")</f>
        <v>730 dias</v>
      </c>
      <c r="AD54" s="114" t="str">
        <f t="shared" ca="1" si="2"/>
        <v>-</v>
      </c>
      <c r="AE54" s="80" t="s">
        <v>43</v>
      </c>
      <c r="AF54" s="82" t="s">
        <v>449</v>
      </c>
      <c r="AG54" s="140" t="s">
        <v>450</v>
      </c>
      <c r="AH54" s="218" t="s">
        <v>44</v>
      </c>
      <c r="AI54" s="219" t="str">
        <f t="shared" si="3"/>
        <v>-</v>
      </c>
      <c r="AJ54" s="219" t="str">
        <f t="shared" si="4"/>
        <v>-</v>
      </c>
      <c r="AK54" s="219" t="str">
        <f t="shared" si="5"/>
        <v>-</v>
      </c>
      <c r="AL54" s="225" t="str">
        <f t="shared" si="6"/>
        <v>-</v>
      </c>
    </row>
    <row r="55" spans="1:38" ht="44.1" customHeight="1">
      <c r="A55" s="99" t="s">
        <v>451</v>
      </c>
      <c r="B55" s="37" t="str">
        <f t="shared" ca="1" si="0"/>
        <v>SI</v>
      </c>
      <c r="C55" s="166" t="s">
        <v>43</v>
      </c>
      <c r="D55" s="61" t="s">
        <v>44</v>
      </c>
      <c r="E55" s="88" t="s">
        <v>45</v>
      </c>
      <c r="F55" s="88" t="s">
        <v>46</v>
      </c>
      <c r="G55" s="168" t="s">
        <v>69</v>
      </c>
      <c r="H55" s="84" t="s">
        <v>452</v>
      </c>
      <c r="I55" s="83" t="s">
        <v>453</v>
      </c>
      <c r="J55" s="84" t="s">
        <v>454</v>
      </c>
      <c r="K55" s="83" t="s">
        <v>222</v>
      </c>
      <c r="L55" s="80" t="s">
        <v>223</v>
      </c>
      <c r="M55" s="80" t="s">
        <v>223</v>
      </c>
      <c r="N55" s="80" t="s">
        <v>196</v>
      </c>
      <c r="O55" s="81">
        <v>39880</v>
      </c>
      <c r="P55" s="122">
        <v>46174</v>
      </c>
      <c r="Q55" s="116" t="s">
        <v>306</v>
      </c>
      <c r="R55" s="132" t="s">
        <v>43</v>
      </c>
      <c r="S55" s="153">
        <v>46217</v>
      </c>
      <c r="T55" s="68">
        <f ca="1">IFERROR(IF(OR(Q55="Ejecutado",Q55="No corresponde atención OGTI",Q55="Desistido",Q55="-",Q55="Para reformulación"),"-",IF(OR(S55="-",S55=""),"Falta fecha_estado",NETWORKDAYS(S55,TODAY(),{"02/04/2026";"03/04/2026";"30/06/2026"}))),"-")</f>
        <v>14</v>
      </c>
      <c r="U55" s="78" t="s">
        <v>224</v>
      </c>
      <c r="V55" s="154" t="s">
        <v>455</v>
      </c>
      <c r="W55" s="83">
        <v>46217</v>
      </c>
      <c r="X55" s="151" t="s">
        <v>189</v>
      </c>
      <c r="Y55" s="171" t="s">
        <v>456</v>
      </c>
      <c r="Z55" s="196" t="str">
        <f t="shared" ca="1" si="1"/>
        <v>Proceso de implementación/Activación/Entrega</v>
      </c>
      <c r="AA55" s="174"/>
      <c r="AB55" s="85"/>
      <c r="AC55" s="157" t="str">
        <f>IFERROR(IF(OR(AA55="-",AA55="",AB55="-",AB55=""),"-",CONCATENATE('Seguimiento OIT'!AB55-'Seguimiento OIT'!AA55+1," dias")),"-")</f>
        <v>-</v>
      </c>
      <c r="AD55" s="114" t="str">
        <f t="shared" ca="1" si="2"/>
        <v>-</v>
      </c>
      <c r="AE55" s="80" t="s">
        <v>457</v>
      </c>
      <c r="AF55" s="82" t="s">
        <v>458</v>
      </c>
      <c r="AG55" s="140" t="s">
        <v>459</v>
      </c>
      <c r="AH55" s="218" t="s">
        <v>44</v>
      </c>
      <c r="AI55" s="219" t="str">
        <f t="shared" si="3"/>
        <v>-</v>
      </c>
      <c r="AJ55" s="219" t="str">
        <f t="shared" si="4"/>
        <v>-</v>
      </c>
      <c r="AK55" s="219" t="str">
        <f t="shared" si="5"/>
        <v>-</v>
      </c>
      <c r="AL55" s="225" t="str">
        <f t="shared" si="6"/>
        <v>-</v>
      </c>
    </row>
    <row r="56" spans="1:38" ht="44.1" customHeight="1">
      <c r="A56" s="97" t="s">
        <v>460</v>
      </c>
      <c r="B56" s="37" t="str">
        <f t="shared" ca="1" si="0"/>
        <v>NO</v>
      </c>
      <c r="C56" s="166" t="s">
        <v>43</v>
      </c>
      <c r="D56" s="61" t="s">
        <v>44</v>
      </c>
      <c r="E56" s="88" t="s">
        <v>45</v>
      </c>
      <c r="F56" s="88" t="s">
        <v>61</v>
      </c>
      <c r="G56" s="168" t="s">
        <v>69</v>
      </c>
      <c r="H56" s="84" t="s">
        <v>461</v>
      </c>
      <c r="I56" s="85" t="s">
        <v>462</v>
      </c>
      <c r="J56" s="84" t="s">
        <v>463</v>
      </c>
      <c r="K56" s="83" t="s">
        <v>370</v>
      </c>
      <c r="L56" s="80" t="s">
        <v>371</v>
      </c>
      <c r="M56" s="80" t="s">
        <v>372</v>
      </c>
      <c r="N56" s="80" t="s">
        <v>196</v>
      </c>
      <c r="O56" s="81" t="s">
        <v>43</v>
      </c>
      <c r="P56" s="122">
        <v>46182</v>
      </c>
      <c r="Q56" s="117" t="s">
        <v>314</v>
      </c>
      <c r="R56" s="132" t="s">
        <v>43</v>
      </c>
      <c r="S56" s="153" t="s">
        <v>43</v>
      </c>
      <c r="T56" s="68" t="str">
        <f ca="1">IFERROR(IF(OR(Q56="Ejecutado",Q56="No corresponde atención OGTI",Q56="Desistido",Q56="-",Q56="Para reformulación"),"-",IF(OR(S56="-",S56=""),"Falta fecha_estado",NETWORKDAYS(S56,TODAY(),{"02/04/2026";"03/04/2026";"30/06/2026"}))),"-")</f>
        <v>-</v>
      </c>
      <c r="U56" s="78" t="s">
        <v>43</v>
      </c>
      <c r="V56" s="154"/>
      <c r="W56" s="83"/>
      <c r="X56" s="151"/>
      <c r="Y56" s="171" t="s">
        <v>43</v>
      </c>
      <c r="Z56" s="196" t="str">
        <f t="shared" ca="1" si="1"/>
        <v>Desistido</v>
      </c>
      <c r="AA56" s="174"/>
      <c r="AB56" s="85"/>
      <c r="AC56" s="157" t="str">
        <f>IFERROR(IF(OR(AA56="-",AA56="",AB56="-",AB56=""),"-",CONCATENATE('Seguimiento OIT'!AB56-'Seguimiento OIT'!AA56+1," dias")),"-")</f>
        <v>-</v>
      </c>
      <c r="AD56" s="114" t="str">
        <f t="shared" ca="1" si="2"/>
        <v>-</v>
      </c>
      <c r="AE56" s="80" t="s">
        <v>464</v>
      </c>
      <c r="AF56" s="82" t="s">
        <v>43</v>
      </c>
      <c r="AG56" s="140" t="s">
        <v>465</v>
      </c>
      <c r="AH56" s="218" t="s">
        <v>44</v>
      </c>
      <c r="AI56" s="219" t="str">
        <f t="shared" si="3"/>
        <v>-</v>
      </c>
      <c r="AJ56" s="219" t="str">
        <f t="shared" si="4"/>
        <v>-</v>
      </c>
      <c r="AK56" s="219" t="str">
        <f t="shared" si="5"/>
        <v>-</v>
      </c>
      <c r="AL56" s="225" t="str">
        <f t="shared" si="6"/>
        <v>-</v>
      </c>
    </row>
    <row r="57" spans="1:38" ht="50.25" customHeight="1">
      <c r="A57" s="97" t="s">
        <v>466</v>
      </c>
      <c r="B57" s="37" t="str">
        <f t="shared" ca="1" si="0"/>
        <v>SI</v>
      </c>
      <c r="C57" s="166" t="s">
        <v>43</v>
      </c>
      <c r="D57" s="61">
        <v>2026</v>
      </c>
      <c r="E57" s="88" t="s">
        <v>349</v>
      </c>
      <c r="F57" s="88" t="s">
        <v>61</v>
      </c>
      <c r="G57" s="168" t="s">
        <v>69</v>
      </c>
      <c r="H57" s="84" t="s">
        <v>467</v>
      </c>
      <c r="I57" s="83" t="s">
        <v>468</v>
      </c>
      <c r="J57" s="84" t="s">
        <v>469</v>
      </c>
      <c r="K57" s="83" t="s">
        <v>51</v>
      </c>
      <c r="L57" s="80" t="s">
        <v>52</v>
      </c>
      <c r="M57" s="80" t="s">
        <v>52</v>
      </c>
      <c r="N57" s="80" t="s">
        <v>196</v>
      </c>
      <c r="O57" s="81" t="s">
        <v>280</v>
      </c>
      <c r="P57" s="122">
        <v>46146</v>
      </c>
      <c r="Q57" s="117" t="s">
        <v>281</v>
      </c>
      <c r="R57" s="132" t="s">
        <v>470</v>
      </c>
      <c r="S57" s="153">
        <v>46197</v>
      </c>
      <c r="T57" s="68">
        <f ca="1">IFERROR(IF(OR(Q57="Ejecutado",Q57="No corresponde atención OGTI",Q57="Desistido",Q57="-",Q57="Para reformulación"),"-",IF(OR(S57="-",S57=""),"Falta fecha_estado",NETWORKDAYS(S57,TODAY(),{"02/04/2026";"03/04/2026";"30/06/2026"}))),"-")</f>
        <v>27</v>
      </c>
      <c r="U57" s="78" t="s">
        <v>43</v>
      </c>
      <c r="V57" s="154"/>
      <c r="W57" s="83"/>
      <c r="X57" s="151"/>
      <c r="Y57" s="171" t="s">
        <v>43</v>
      </c>
      <c r="Z57" s="196" t="str">
        <f t="shared" ca="1" si="1"/>
        <v>En tramite</v>
      </c>
      <c r="AA57" s="174"/>
      <c r="AB57" s="85"/>
      <c r="AC57" s="157" t="str">
        <f>IFERROR(IF(OR(AA57="-",AA57="",AB57="-",AB57=""),"-",CONCATENATE('Seguimiento OIT'!AB57-'Seguimiento OIT'!AA57+1," dias")),"-")</f>
        <v>-</v>
      </c>
      <c r="AD57" s="114" t="str">
        <f t="shared" ca="1" si="2"/>
        <v>-</v>
      </c>
      <c r="AE57" s="80" t="s">
        <v>43</v>
      </c>
      <c r="AF57" s="82" t="s">
        <v>43</v>
      </c>
      <c r="AG57" s="140" t="s">
        <v>471</v>
      </c>
      <c r="AH57" s="218" t="s">
        <v>44</v>
      </c>
      <c r="AI57" s="219" t="str">
        <f t="shared" si="3"/>
        <v>-</v>
      </c>
      <c r="AJ57" s="219" t="str">
        <f t="shared" si="4"/>
        <v>-</v>
      </c>
      <c r="AK57" s="219" t="str">
        <f t="shared" si="5"/>
        <v>-</v>
      </c>
      <c r="AL57" s="225" t="str">
        <f t="shared" si="6"/>
        <v>-</v>
      </c>
    </row>
    <row r="58" spans="1:38" ht="47.25" customHeight="1">
      <c r="A58" s="97" t="s">
        <v>472</v>
      </c>
      <c r="B58" s="37" t="str">
        <f t="shared" ca="1" si="0"/>
        <v>SI</v>
      </c>
      <c r="C58" s="166" t="s">
        <v>43</v>
      </c>
      <c r="D58" s="61" t="s">
        <v>44</v>
      </c>
      <c r="E58" s="88" t="s">
        <v>45</v>
      </c>
      <c r="F58" s="88" t="s">
        <v>61</v>
      </c>
      <c r="G58" s="168" t="s">
        <v>69</v>
      </c>
      <c r="H58" s="84" t="s">
        <v>473</v>
      </c>
      <c r="I58" s="74" t="s">
        <v>474</v>
      </c>
      <c r="J58" s="84" t="s">
        <v>475</v>
      </c>
      <c r="K58" s="83" t="s">
        <v>370</v>
      </c>
      <c r="L58" s="80" t="s">
        <v>371</v>
      </c>
      <c r="M58" s="80" t="s">
        <v>372</v>
      </c>
      <c r="N58" s="80" t="s">
        <v>196</v>
      </c>
      <c r="O58" s="81" t="s">
        <v>280</v>
      </c>
      <c r="P58" s="122">
        <v>46178</v>
      </c>
      <c r="Q58" s="117" t="s">
        <v>476</v>
      </c>
      <c r="R58" s="132" t="s">
        <v>470</v>
      </c>
      <c r="S58" s="153">
        <v>46225</v>
      </c>
      <c r="T58" s="68">
        <f ca="1">IFERROR(IF(OR(Q58="Ejecutado",Q58="No corresponde atención OGTI",Q58="Desistido",Q58="-",Q58="Para reformulación"),"-",IF(OR(S58="-",S58=""),"Falta fecha_estado",NETWORKDAYS(S58,TODAY(),{"02/04/2026";"03/04/2026";"30/06/2026"}))),"-")</f>
        <v>8</v>
      </c>
      <c r="U58" s="78" t="s">
        <v>43</v>
      </c>
      <c r="V58" s="154"/>
      <c r="W58" s="83"/>
      <c r="X58" s="151"/>
      <c r="Y58" s="171" t="s">
        <v>43</v>
      </c>
      <c r="Z58" s="196" t="str">
        <f t="shared" ca="1" si="1"/>
        <v>En tramite</v>
      </c>
      <c r="AA58" s="174"/>
      <c r="AB58" s="85"/>
      <c r="AC58" s="157" t="str">
        <f>IFERROR(IF(OR(AA58="-",AA58="",AB58="-",AB58=""),"-",CONCATENATE('Seguimiento OIT'!AB58-'Seguimiento OIT'!AA58+1," dias")),"-")</f>
        <v>-</v>
      </c>
      <c r="AD58" s="114" t="str">
        <f t="shared" ca="1" si="2"/>
        <v>-</v>
      </c>
      <c r="AE58" s="80" t="s">
        <v>43</v>
      </c>
      <c r="AF58" s="82" t="s">
        <v>43</v>
      </c>
      <c r="AG58" s="140" t="s">
        <v>477</v>
      </c>
      <c r="AH58" s="218" t="s">
        <v>44</v>
      </c>
      <c r="AI58" s="219" t="str">
        <f t="shared" si="3"/>
        <v>-</v>
      </c>
      <c r="AJ58" s="219" t="str">
        <f t="shared" si="4"/>
        <v>-</v>
      </c>
      <c r="AK58" s="219" t="str">
        <f t="shared" si="5"/>
        <v>-</v>
      </c>
      <c r="AL58" s="225" t="str">
        <f t="shared" si="6"/>
        <v>-</v>
      </c>
    </row>
    <row r="59" spans="1:38" ht="66" customHeight="1">
      <c r="A59" s="88" t="s">
        <v>478</v>
      </c>
      <c r="B59" s="37" t="str">
        <f t="shared" ca="1" si="0"/>
        <v>SI</v>
      </c>
      <c r="C59" s="176" t="s">
        <v>43</v>
      </c>
      <c r="D59" s="61">
        <v>2026</v>
      </c>
      <c r="E59" s="88" t="s">
        <v>349</v>
      </c>
      <c r="F59" s="88" t="s">
        <v>46</v>
      </c>
      <c r="G59" s="89" t="s">
        <v>69</v>
      </c>
      <c r="H59" s="60" t="s">
        <v>479</v>
      </c>
      <c r="I59" s="179" t="s">
        <v>480</v>
      </c>
      <c r="J59" s="84" t="s">
        <v>481</v>
      </c>
      <c r="K59" s="83" t="s">
        <v>222</v>
      </c>
      <c r="L59" s="80" t="s">
        <v>223</v>
      </c>
      <c r="M59" s="80" t="s">
        <v>223</v>
      </c>
      <c r="N59" s="80" t="s">
        <v>196</v>
      </c>
      <c r="O59" s="81">
        <v>15225600</v>
      </c>
      <c r="P59" s="122">
        <v>46006</v>
      </c>
      <c r="Q59" s="116" t="s">
        <v>306</v>
      </c>
      <c r="R59" s="132" t="s">
        <v>482</v>
      </c>
      <c r="S59" s="153">
        <v>46218</v>
      </c>
      <c r="T59" s="68">
        <f ca="1">IFERROR(IF(OR(Q59="Ejecutado",Q59="No corresponde atención OGTI",Q59="Desistido",Q59="-",Q59="Para reformulación"),"-",IF(OR(S59="-",S59=""),"Falta fecha_estado",NETWORKDAYS(S59,TODAY(),{"02/04/2026";"03/04/2026";"30/06/2026"}))),"-")</f>
        <v>13</v>
      </c>
      <c r="U59" s="78" t="s">
        <v>224</v>
      </c>
      <c r="V59" s="154" t="s">
        <v>483</v>
      </c>
      <c r="W59" s="83">
        <v>46216</v>
      </c>
      <c r="X59" s="154" t="s">
        <v>189</v>
      </c>
      <c r="Y59" s="171" t="s">
        <v>223</v>
      </c>
      <c r="Z59" s="196" t="str">
        <f t="shared" ca="1" si="1"/>
        <v>Proceso de implementación/Activación/Entrega</v>
      </c>
      <c r="AA59" s="174">
        <v>46217</v>
      </c>
      <c r="AB59" s="85">
        <v>46292</v>
      </c>
      <c r="AC59" s="157" t="str">
        <f>IFERROR(IF(OR(AA59="-",AA59="",AB59="-",AB59=""),"-",CONCATENATE('Seguimiento OIT'!AB59-'Seguimiento OIT'!AA59+1," dias")),"-")</f>
        <v>76 dias</v>
      </c>
      <c r="AD59" s="114" t="str">
        <f t="shared" ca="1" si="2"/>
        <v>-</v>
      </c>
      <c r="AE59" s="80" t="s">
        <v>43</v>
      </c>
      <c r="AF59" s="82" t="s">
        <v>484</v>
      </c>
      <c r="AG59" s="141" t="s">
        <v>485</v>
      </c>
      <c r="AH59" s="218" t="s">
        <v>44</v>
      </c>
      <c r="AI59" s="219" t="str">
        <f t="shared" si="3"/>
        <v>-</v>
      </c>
      <c r="AJ59" s="219" t="str">
        <f t="shared" si="4"/>
        <v>-</v>
      </c>
      <c r="AK59" s="219" t="str">
        <f t="shared" si="5"/>
        <v>-</v>
      </c>
      <c r="AL59" s="225" t="str">
        <f t="shared" si="6"/>
        <v>-</v>
      </c>
    </row>
    <row r="60" spans="1:38" ht="66" customHeight="1">
      <c r="A60" s="88" t="s">
        <v>486</v>
      </c>
      <c r="B60" s="37" t="str">
        <f t="shared" ca="1" si="0"/>
        <v>SI</v>
      </c>
      <c r="C60" s="176" t="s">
        <v>478</v>
      </c>
      <c r="D60" s="61">
        <v>2026</v>
      </c>
      <c r="E60" s="88" t="s">
        <v>45</v>
      </c>
      <c r="F60" s="88" t="s">
        <v>433</v>
      </c>
      <c r="G60" s="89" t="s">
        <v>69</v>
      </c>
      <c r="H60" s="60" t="s">
        <v>487</v>
      </c>
      <c r="I60" s="62" t="s">
        <v>488</v>
      </c>
      <c r="J60" s="84" t="s">
        <v>489</v>
      </c>
      <c r="K60" s="83" t="s">
        <v>222</v>
      </c>
      <c r="L60" s="80" t="s">
        <v>223</v>
      </c>
      <c r="M60" s="80" t="s">
        <v>223</v>
      </c>
      <c r="N60" s="80" t="s">
        <v>196</v>
      </c>
      <c r="O60" s="81">
        <v>2316392.5699999998</v>
      </c>
      <c r="P60" s="122">
        <v>46007</v>
      </c>
      <c r="Q60" s="117" t="s">
        <v>54</v>
      </c>
      <c r="R60" s="132" t="s">
        <v>43</v>
      </c>
      <c r="S60" s="153" t="s">
        <v>43</v>
      </c>
      <c r="T60" s="68" t="str">
        <f ca="1">IFERROR(IF(OR(Q60="Ejecutado",Q60="No corresponde atención OGTI",Q60="Desistido",Q60="-",Q60="Para reformulación"),"-",IF(OR(S60="-",S60=""),"Falta fecha_estado",NETWORKDAYS(S60,TODAY(),{"02/04/2026";"03/04/2026";"30/06/2026"}))),"-")</f>
        <v>-</v>
      </c>
      <c r="U60" s="78" t="s">
        <v>224</v>
      </c>
      <c r="V60" s="162" t="s">
        <v>490</v>
      </c>
      <c r="W60" s="83">
        <v>46043</v>
      </c>
      <c r="X60" s="150" t="s">
        <v>491</v>
      </c>
      <c r="Y60" s="171" t="s">
        <v>223</v>
      </c>
      <c r="Z60" s="196" t="str">
        <f t="shared" ca="1" si="1"/>
        <v>Vigente_por vencer</v>
      </c>
      <c r="AA60" s="174">
        <v>46044</v>
      </c>
      <c r="AB60" s="85">
        <v>46261</v>
      </c>
      <c r="AC60" s="157" t="str">
        <f>IFERROR(IF(OR(AA60="-",AA60="",AB60="-",AB60=""),"-",CONCATENATE('Seguimiento OIT'!AB60-'Seguimiento OIT'!AA60+1," dias")),"-")</f>
        <v>218 dias</v>
      </c>
      <c r="AD60" s="114"/>
      <c r="AE60" s="80"/>
      <c r="AF60" s="82" t="s">
        <v>492</v>
      </c>
      <c r="AG60" s="142"/>
      <c r="AH60" s="218" t="s">
        <v>44</v>
      </c>
      <c r="AI60" s="219" t="str">
        <f t="shared" si="3"/>
        <v>-</v>
      </c>
      <c r="AJ60" s="219" t="str">
        <f t="shared" si="4"/>
        <v>-</v>
      </c>
      <c r="AK60" s="219" t="str">
        <f t="shared" si="5"/>
        <v>-</v>
      </c>
      <c r="AL60" s="225" t="str">
        <f t="shared" si="6"/>
        <v>-</v>
      </c>
    </row>
    <row r="61" spans="1:38" ht="63.75" customHeight="1">
      <c r="A61" s="88" t="s">
        <v>493</v>
      </c>
      <c r="B61" s="37" t="str">
        <f t="shared" ca="1" si="0"/>
        <v>SI</v>
      </c>
      <c r="C61" s="176" t="s">
        <v>43</v>
      </c>
      <c r="D61" s="61">
        <v>2026</v>
      </c>
      <c r="E61" s="88" t="s">
        <v>349</v>
      </c>
      <c r="F61" s="88" t="s">
        <v>46</v>
      </c>
      <c r="G61" s="89" t="s">
        <v>69</v>
      </c>
      <c r="H61" s="84" t="s">
        <v>494</v>
      </c>
      <c r="I61" s="178" t="s">
        <v>495</v>
      </c>
      <c r="J61" s="84" t="s">
        <v>496</v>
      </c>
      <c r="K61" s="83" t="s">
        <v>222</v>
      </c>
      <c r="L61" s="80" t="s">
        <v>223</v>
      </c>
      <c r="M61" s="80" t="s">
        <v>223</v>
      </c>
      <c r="N61" s="80" t="s">
        <v>196</v>
      </c>
      <c r="O61" s="81">
        <v>2931120</v>
      </c>
      <c r="P61" s="122">
        <v>46006</v>
      </c>
      <c r="Q61" s="116" t="s">
        <v>306</v>
      </c>
      <c r="R61" s="132" t="s">
        <v>482</v>
      </c>
      <c r="S61" s="153">
        <v>46218</v>
      </c>
      <c r="T61" s="68">
        <f ca="1">IFERROR(IF(OR(Q61="Ejecutado",Q61="No corresponde atención OGTI",Q61="Desistido",Q61="-",Q61="Para reformulación"),"-",IF(OR(S61="-",S61=""),"Falta fecha_estado",NETWORKDAYS(S61,TODAY(),{"02/04/2026";"03/04/2026";"30/06/2026"}))),"-")</f>
        <v>13</v>
      </c>
      <c r="U61" s="78" t="s">
        <v>224</v>
      </c>
      <c r="V61" s="154" t="s">
        <v>497</v>
      </c>
      <c r="W61" s="83">
        <v>46216</v>
      </c>
      <c r="X61" s="154" t="s">
        <v>498</v>
      </c>
      <c r="Y61" s="171" t="s">
        <v>223</v>
      </c>
      <c r="Z61" s="196" t="str">
        <f t="shared" ca="1" si="1"/>
        <v>Proceso de implementación/Activación/Entrega</v>
      </c>
      <c r="AA61" s="174">
        <v>46217</v>
      </c>
      <c r="AB61" s="85">
        <v>46292</v>
      </c>
      <c r="AC61" s="157" t="str">
        <f>IFERROR(IF(OR(AA61="-",AA61="",AB61="-",AB61=""),"-",CONCATENATE('Seguimiento OIT'!AB61-'Seguimiento OIT'!AA61+1," dias")),"-")</f>
        <v>76 dias</v>
      </c>
      <c r="AD61" s="114" t="str">
        <f t="shared" ca="1" si="2"/>
        <v>-</v>
      </c>
      <c r="AE61" s="80" t="s">
        <v>43</v>
      </c>
      <c r="AF61" s="82" t="s">
        <v>484</v>
      </c>
      <c r="AG61" s="141" t="s">
        <v>485</v>
      </c>
      <c r="AH61" s="218" t="s">
        <v>44</v>
      </c>
      <c r="AI61" s="219" t="str">
        <f t="shared" si="3"/>
        <v>-</v>
      </c>
      <c r="AJ61" s="219" t="str">
        <f t="shared" si="4"/>
        <v>-</v>
      </c>
      <c r="AK61" s="219" t="str">
        <f t="shared" si="5"/>
        <v>-</v>
      </c>
      <c r="AL61" s="225" t="str">
        <f t="shared" si="6"/>
        <v>-</v>
      </c>
    </row>
    <row r="62" spans="1:38" ht="60" customHeight="1">
      <c r="A62" s="180" t="s">
        <v>499</v>
      </c>
      <c r="B62" s="37" t="str">
        <f t="shared" ca="1" si="0"/>
        <v>SI</v>
      </c>
      <c r="C62" s="177" t="s">
        <v>493</v>
      </c>
      <c r="D62" s="61">
        <v>2026</v>
      </c>
      <c r="E62" s="88" t="s">
        <v>45</v>
      </c>
      <c r="F62" s="88" t="s">
        <v>433</v>
      </c>
      <c r="G62" s="89" t="s">
        <v>69</v>
      </c>
      <c r="H62" s="60" t="s">
        <v>500</v>
      </c>
      <c r="I62" s="83" t="s">
        <v>501</v>
      </c>
      <c r="J62" s="84" t="s">
        <v>502</v>
      </c>
      <c r="K62" s="83" t="s">
        <v>222</v>
      </c>
      <c r="L62" s="80" t="s">
        <v>223</v>
      </c>
      <c r="M62" s="80" t="s">
        <v>223</v>
      </c>
      <c r="N62" s="80" t="s">
        <v>196</v>
      </c>
      <c r="O62" s="81">
        <v>713553.55</v>
      </c>
      <c r="P62" s="122">
        <v>46079</v>
      </c>
      <c r="Q62" s="117" t="s">
        <v>54</v>
      </c>
      <c r="R62" s="132" t="s">
        <v>43</v>
      </c>
      <c r="S62" s="153">
        <v>46121</v>
      </c>
      <c r="T62" s="68" t="str">
        <f ca="1">IFERROR(IF(OR(Q62="Ejecutado",Q62="No corresponde atención OGTI",Q62="Desistido",Q62="-",Q62="Para reformulación"),"-",IF(OR(S62="-",S62=""),"Falta fecha_estado",NETWORKDAYS(S62,TODAY(),{"02/04/2026";"03/04/2026";"30/06/2026"}))),"-")</f>
        <v>-</v>
      </c>
      <c r="U62" s="78" t="s">
        <v>224</v>
      </c>
      <c r="V62" s="162" t="s">
        <v>503</v>
      </c>
      <c r="W62" s="83">
        <v>46108</v>
      </c>
      <c r="X62" s="154" t="s">
        <v>498</v>
      </c>
      <c r="Y62" s="171" t="s">
        <v>223</v>
      </c>
      <c r="Z62" s="196" t="str">
        <f t="shared" ca="1" si="1"/>
        <v>Vigente</v>
      </c>
      <c r="AA62" s="174">
        <v>46109</v>
      </c>
      <c r="AB62" s="85">
        <v>46328</v>
      </c>
      <c r="AC62" s="157" t="str">
        <f>IFERROR(IF(OR(AA62="-",AA62="",AB62="-",AB62=""),"-",CONCATENATE('Seguimiento OIT'!AB62-'Seguimiento OIT'!AA62+1," dias")),"-")</f>
        <v>220 dias</v>
      </c>
      <c r="AD62" s="114" t="str">
        <f t="shared" ca="1" si="2"/>
        <v>-</v>
      </c>
      <c r="AE62" s="80" t="s">
        <v>43</v>
      </c>
      <c r="AF62" s="35" t="s">
        <v>504</v>
      </c>
      <c r="AG62" s="181" t="s">
        <v>505</v>
      </c>
      <c r="AH62" s="218" t="s">
        <v>44</v>
      </c>
      <c r="AI62" s="219" t="str">
        <f t="shared" si="3"/>
        <v>-</v>
      </c>
      <c r="AJ62" s="219" t="str">
        <f t="shared" si="4"/>
        <v>-</v>
      </c>
      <c r="AK62" s="219" t="str">
        <f t="shared" si="5"/>
        <v>-</v>
      </c>
      <c r="AL62" s="225" t="str">
        <f t="shared" si="6"/>
        <v>-</v>
      </c>
    </row>
    <row r="63" spans="1:38" ht="44.1" customHeight="1">
      <c r="A63" s="97" t="s">
        <v>506</v>
      </c>
      <c r="B63" s="37" t="str">
        <f t="shared" ca="1" si="0"/>
        <v>SI</v>
      </c>
      <c r="C63" s="166" t="s">
        <v>43</v>
      </c>
      <c r="D63" s="61" t="s">
        <v>44</v>
      </c>
      <c r="E63" s="88" t="s">
        <v>349</v>
      </c>
      <c r="F63" s="88" t="s">
        <v>46</v>
      </c>
      <c r="G63" s="168" t="s">
        <v>69</v>
      </c>
      <c r="H63" s="60" t="s">
        <v>507</v>
      </c>
      <c r="I63" s="62" t="s">
        <v>508</v>
      </c>
      <c r="J63" s="60" t="s">
        <v>509</v>
      </c>
      <c r="K63" s="83" t="s">
        <v>119</v>
      </c>
      <c r="L63" s="80" t="s">
        <v>120</v>
      </c>
      <c r="M63" s="80" t="s">
        <v>120</v>
      </c>
      <c r="N63" s="80" t="s">
        <v>137</v>
      </c>
      <c r="O63" s="81">
        <v>111647</v>
      </c>
      <c r="P63" s="122">
        <v>45876</v>
      </c>
      <c r="Q63" s="117" t="s">
        <v>54</v>
      </c>
      <c r="R63" s="132" t="s">
        <v>43</v>
      </c>
      <c r="S63" s="152" t="s">
        <v>43</v>
      </c>
      <c r="T63" s="68" t="str">
        <f ca="1">IFERROR(IF(OR(Q63="Ejecutado",Q63="No corresponde atención OGTI",Q63="Desistido",Q63="-",Q63="Para reformulación"),"-",IF(OR(S63="-",S63=""),"Falta fecha_estado",NETWORKDAYS(S63,TODAY(),{"02/04/2026";"03/04/2026";"30/06/2026"}))),"-")</f>
        <v>-</v>
      </c>
      <c r="U63" s="78" t="s">
        <v>224</v>
      </c>
      <c r="V63" s="162" t="s">
        <v>510</v>
      </c>
      <c r="W63" s="83">
        <v>46344</v>
      </c>
      <c r="X63" s="150" t="s">
        <v>511</v>
      </c>
      <c r="Y63" s="171" t="s">
        <v>120</v>
      </c>
      <c r="Z63" s="196" t="str">
        <f t="shared" ca="1" si="1"/>
        <v>Vigente</v>
      </c>
      <c r="AA63" s="174">
        <v>45980</v>
      </c>
      <c r="AB63" s="85">
        <v>46344</v>
      </c>
      <c r="AC63" s="157" t="str">
        <f>IFERROR(IF(OR(AA63="-",AA63="",AB63="-",AB63=""),"-",CONCATENATE('Seguimiento OIT'!AB63-'Seguimiento OIT'!AA63+1," dias")),"-")</f>
        <v>365 dias</v>
      </c>
      <c r="AD63" s="114" t="str">
        <f t="shared" ca="1" si="2"/>
        <v>-</v>
      </c>
      <c r="AE63" s="80" t="s">
        <v>43</v>
      </c>
      <c r="AF63" s="67" t="s">
        <v>512</v>
      </c>
      <c r="AG63" s="140" t="s">
        <v>513</v>
      </c>
      <c r="AH63" s="218" t="s">
        <v>44</v>
      </c>
      <c r="AI63" s="219" t="str">
        <f t="shared" si="3"/>
        <v>-</v>
      </c>
      <c r="AJ63" s="219" t="str">
        <f t="shared" si="4"/>
        <v>-</v>
      </c>
      <c r="AK63" s="219" t="str">
        <f t="shared" si="5"/>
        <v>-</v>
      </c>
      <c r="AL63" s="225" t="str">
        <f t="shared" si="6"/>
        <v>-</v>
      </c>
    </row>
    <row r="64" spans="1:38" ht="44.1" customHeight="1">
      <c r="A64" s="97" t="s">
        <v>514</v>
      </c>
      <c r="B64" s="37" t="str">
        <f t="shared" ca="1" si="0"/>
        <v>SI</v>
      </c>
      <c r="C64" s="166" t="s">
        <v>43</v>
      </c>
      <c r="D64" s="61" t="s">
        <v>44</v>
      </c>
      <c r="E64" s="88" t="s">
        <v>45</v>
      </c>
      <c r="F64" s="88" t="s">
        <v>61</v>
      </c>
      <c r="G64" s="168" t="s">
        <v>69</v>
      </c>
      <c r="H64" s="60" t="s">
        <v>515</v>
      </c>
      <c r="I64" s="62" t="s">
        <v>516</v>
      </c>
      <c r="J64" s="60" t="s">
        <v>517</v>
      </c>
      <c r="K64" s="83" t="s">
        <v>119</v>
      </c>
      <c r="L64" s="80" t="s">
        <v>120</v>
      </c>
      <c r="M64" s="80" t="s">
        <v>75</v>
      </c>
      <c r="N64" s="80" t="s">
        <v>121</v>
      </c>
      <c r="O64" s="81">
        <v>4625.6000000000004</v>
      </c>
      <c r="P64" s="122">
        <v>45904</v>
      </c>
      <c r="Q64" s="117" t="s">
        <v>54</v>
      </c>
      <c r="R64" s="132" t="s">
        <v>43</v>
      </c>
      <c r="S64" s="152" t="s">
        <v>43</v>
      </c>
      <c r="T64" s="68" t="str">
        <f ca="1">IFERROR(IF(OR(Q64="Ejecutado",Q64="No corresponde atención OGTI",Q64="Desistido",Q64="-",Q64="Para reformulación"),"-",IF(OR(S64="-",S64=""),"Falta fecha_estado",NETWORKDAYS(S64,TODAY(),{"02/04/2026";"03/04/2026";"30/06/2026"}))),"-")</f>
        <v>-</v>
      </c>
      <c r="U64" s="78" t="s">
        <v>77</v>
      </c>
      <c r="V64" s="162" t="s">
        <v>518</v>
      </c>
      <c r="W64" s="83">
        <v>45917</v>
      </c>
      <c r="X64" s="150" t="s">
        <v>519</v>
      </c>
      <c r="Y64" s="171" t="s">
        <v>120</v>
      </c>
      <c r="Z64" s="196" t="str">
        <f t="shared" ca="1" si="1"/>
        <v>Vigente_por vencer</v>
      </c>
      <c r="AA64" s="174">
        <v>45918</v>
      </c>
      <c r="AB64" s="158">
        <v>46282</v>
      </c>
      <c r="AC64" s="157" t="str">
        <f>IFERROR(IF(OR(AA64="-",AA64="",AB64="-",AB64=""),"-",CONCATENATE('Seguimiento OIT'!AB64-'Seguimiento OIT'!AA64+1," dias")),"-")</f>
        <v>365 dias</v>
      </c>
      <c r="AD64" s="114" t="str">
        <f t="shared" ca="1" si="2"/>
        <v>-</v>
      </c>
      <c r="AE64" s="80" t="s">
        <v>43</v>
      </c>
      <c r="AF64" s="67" t="s">
        <v>520</v>
      </c>
      <c r="AG64" s="140" t="s">
        <v>521</v>
      </c>
      <c r="AH64" s="218" t="s">
        <v>44</v>
      </c>
      <c r="AI64" s="219" t="str">
        <f t="shared" si="3"/>
        <v>-</v>
      </c>
      <c r="AJ64" s="219" t="str">
        <f t="shared" si="4"/>
        <v>-</v>
      </c>
      <c r="AK64" s="219" t="str">
        <f t="shared" si="5"/>
        <v>-</v>
      </c>
      <c r="AL64" s="225" t="str">
        <f t="shared" si="6"/>
        <v>-</v>
      </c>
    </row>
    <row r="65" spans="1:38" ht="44.1" customHeight="1">
      <c r="A65" s="97" t="s">
        <v>522</v>
      </c>
      <c r="B65" s="37" t="str">
        <f t="shared" ca="1" si="0"/>
        <v>SI</v>
      </c>
      <c r="C65" s="166" t="s">
        <v>43</v>
      </c>
      <c r="D65" s="61" t="s">
        <v>44</v>
      </c>
      <c r="E65" s="88" t="s">
        <v>45</v>
      </c>
      <c r="F65" s="88" t="s">
        <v>61</v>
      </c>
      <c r="G65" s="168" t="s">
        <v>69</v>
      </c>
      <c r="H65" s="84" t="s">
        <v>515</v>
      </c>
      <c r="I65" s="83" t="s">
        <v>523</v>
      </c>
      <c r="J65" s="60" t="s">
        <v>524</v>
      </c>
      <c r="K65" s="83" t="s">
        <v>119</v>
      </c>
      <c r="L65" s="80" t="s">
        <v>525</v>
      </c>
      <c r="M65" s="80" t="s">
        <v>526</v>
      </c>
      <c r="N65" s="80" t="s">
        <v>527</v>
      </c>
      <c r="O65" s="81">
        <v>35872</v>
      </c>
      <c r="P65" s="122">
        <v>45945</v>
      </c>
      <c r="Q65" s="117" t="s">
        <v>54</v>
      </c>
      <c r="R65" s="132" t="s">
        <v>43</v>
      </c>
      <c r="S65" s="152" t="s">
        <v>43</v>
      </c>
      <c r="T65" s="68" t="str">
        <f ca="1">IFERROR(IF(OR(Q65="Ejecutado",Q65="No corresponde atención OGTI",Q65="Desistido",Q65="-",Q65="Para reformulación"),"-",IF(OR(S65="-",S65=""),"Falta fecha_estado",NETWORKDAYS(S65,TODAY(),{"02/04/2026";"03/04/2026";"30/06/2026"}))),"-")</f>
        <v>-</v>
      </c>
      <c r="U65" s="78" t="s">
        <v>77</v>
      </c>
      <c r="V65" s="162" t="s">
        <v>528</v>
      </c>
      <c r="W65" s="83">
        <v>45979</v>
      </c>
      <c r="X65" s="151" t="s">
        <v>529</v>
      </c>
      <c r="Y65" s="171" t="s">
        <v>526</v>
      </c>
      <c r="Z65" s="196" t="str">
        <f t="shared" ca="1" si="1"/>
        <v>Vigente</v>
      </c>
      <c r="AA65" s="174">
        <v>45986</v>
      </c>
      <c r="AB65" s="85">
        <v>46350</v>
      </c>
      <c r="AC65" s="157" t="str">
        <f>IFERROR(IF(OR(AA65="-",AA65="",AB65="-",AB65=""),"-",CONCATENATE('Seguimiento OIT'!AB65-'Seguimiento OIT'!AA65+1," dias")),"-")</f>
        <v>365 dias</v>
      </c>
      <c r="AD65" s="114" t="str">
        <f t="shared" ca="1" si="2"/>
        <v>-</v>
      </c>
      <c r="AE65" s="80" t="s">
        <v>43</v>
      </c>
      <c r="AF65" s="82" t="s">
        <v>530</v>
      </c>
      <c r="AG65" s="140" t="s">
        <v>531</v>
      </c>
      <c r="AH65" s="218" t="s">
        <v>44</v>
      </c>
      <c r="AI65" s="219" t="str">
        <f t="shared" si="3"/>
        <v>-</v>
      </c>
      <c r="AJ65" s="219" t="str">
        <f t="shared" si="4"/>
        <v>-</v>
      </c>
      <c r="AK65" s="219" t="str">
        <f t="shared" si="5"/>
        <v>-</v>
      </c>
      <c r="AL65" s="225" t="str">
        <f t="shared" si="6"/>
        <v>-</v>
      </c>
    </row>
    <row r="66" spans="1:38" ht="44.1" customHeight="1">
      <c r="A66" s="97" t="s">
        <v>532</v>
      </c>
      <c r="B66" s="37" t="str">
        <f t="shared" ca="1" si="0"/>
        <v>SI</v>
      </c>
      <c r="C66" s="166" t="s">
        <v>43</v>
      </c>
      <c r="D66" s="61" t="s">
        <v>44</v>
      </c>
      <c r="E66" s="88" t="s">
        <v>45</v>
      </c>
      <c r="F66" s="88" t="s">
        <v>46</v>
      </c>
      <c r="G66" s="168" t="s">
        <v>69</v>
      </c>
      <c r="H66" s="84" t="s">
        <v>533</v>
      </c>
      <c r="I66" s="83" t="s">
        <v>534</v>
      </c>
      <c r="J66" s="84" t="s">
        <v>535</v>
      </c>
      <c r="K66" s="83" t="s">
        <v>51</v>
      </c>
      <c r="L66" s="80" t="s">
        <v>52</v>
      </c>
      <c r="M66" s="80" t="s">
        <v>52</v>
      </c>
      <c r="N66" s="80" t="s">
        <v>102</v>
      </c>
      <c r="O66" s="81">
        <v>40356</v>
      </c>
      <c r="P66" s="122">
        <v>46105</v>
      </c>
      <c r="Q66" s="117" t="s">
        <v>54</v>
      </c>
      <c r="R66" s="132" t="s">
        <v>43</v>
      </c>
      <c r="S66" s="152" t="s">
        <v>43</v>
      </c>
      <c r="T66" s="68" t="str">
        <f ca="1">IFERROR(IF(OR(Q66="Ejecutado",Q66="No corresponde atención OGTI",Q66="Desistido",Q66="-",Q66="Para reformulación"),"-",IF(OR(S66="-",S66=""),"Falta fecha_estado",NETWORKDAYS(S66,TODAY(),{"02/04/2026";"03/04/2026";"30/06/2026"}))),"-")</f>
        <v>-</v>
      </c>
      <c r="U66" s="78" t="s">
        <v>224</v>
      </c>
      <c r="V66" s="162" t="s">
        <v>536</v>
      </c>
      <c r="W66" s="83">
        <v>46193</v>
      </c>
      <c r="X66" s="151" t="s">
        <v>537</v>
      </c>
      <c r="Y66" s="171" t="s">
        <v>52</v>
      </c>
      <c r="Z66" s="196" t="str">
        <f t="shared" ca="1" si="1"/>
        <v>Vigente</v>
      </c>
      <c r="AA66" s="174">
        <v>46213</v>
      </c>
      <c r="AB66" s="85">
        <v>46577</v>
      </c>
      <c r="AC66" s="157" t="str">
        <f>IFERROR(IF(OR(AA66="-",AA66="",AB66="-",AB66=""),"-",CONCATENATE('Seguimiento OIT'!AB66-'Seguimiento OIT'!AA66+1," dias")),"-")</f>
        <v>365 dias</v>
      </c>
      <c r="AD66" s="114" t="str">
        <f t="shared" ca="1" si="2"/>
        <v>-</v>
      </c>
      <c r="AE66" s="80" t="s">
        <v>43</v>
      </c>
      <c r="AF66" s="82" t="s">
        <v>538</v>
      </c>
      <c r="AG66" s="140" t="s">
        <v>539</v>
      </c>
      <c r="AH66" s="218" t="s">
        <v>44</v>
      </c>
      <c r="AI66" s="219" t="str">
        <f t="shared" si="3"/>
        <v>-</v>
      </c>
      <c r="AJ66" s="219" t="str">
        <f t="shared" si="4"/>
        <v>-</v>
      </c>
      <c r="AK66" s="219" t="str">
        <f t="shared" si="5"/>
        <v>-</v>
      </c>
      <c r="AL66" s="225" t="str">
        <f t="shared" si="6"/>
        <v>-</v>
      </c>
    </row>
    <row r="67" spans="1:38" ht="44.1" customHeight="1">
      <c r="A67" s="97" t="s">
        <v>540</v>
      </c>
      <c r="B67" s="37" t="str">
        <f t="shared" ca="1" si="0"/>
        <v>SI</v>
      </c>
      <c r="C67" s="166" t="s">
        <v>43</v>
      </c>
      <c r="D67" s="61" t="s">
        <v>44</v>
      </c>
      <c r="E67" s="88" t="s">
        <v>349</v>
      </c>
      <c r="F67" s="88" t="s">
        <v>61</v>
      </c>
      <c r="G67" s="168" t="s">
        <v>69</v>
      </c>
      <c r="H67" s="84" t="s">
        <v>541</v>
      </c>
      <c r="I67" s="83" t="s">
        <v>542</v>
      </c>
      <c r="J67" s="84" t="s">
        <v>543</v>
      </c>
      <c r="K67" s="83" t="s">
        <v>51</v>
      </c>
      <c r="L67" s="80" t="s">
        <v>52</v>
      </c>
      <c r="M67" s="80" t="s">
        <v>52</v>
      </c>
      <c r="N67" s="80" t="s">
        <v>437</v>
      </c>
      <c r="O67" s="81">
        <v>137924.06</v>
      </c>
      <c r="P67" s="122">
        <v>45715</v>
      </c>
      <c r="Q67" s="117" t="s">
        <v>54</v>
      </c>
      <c r="R67" s="132" t="s">
        <v>43</v>
      </c>
      <c r="S67" s="152" t="s">
        <v>43</v>
      </c>
      <c r="T67" s="68" t="str">
        <f ca="1">IFERROR(IF(OR(Q67="Ejecutado",Q67="No corresponde atención OGTI",Q67="Desistido",Q67="-",Q67="Para reformulación"),"-",IF(OR(S67="-",S67=""),"Falta fecha_estado",NETWORKDAYS(S67,TODAY(),{"02/04/2026";"03/04/2026";"30/06/2026"}))),"-")</f>
        <v>-</v>
      </c>
      <c r="U67" s="78" t="s">
        <v>224</v>
      </c>
      <c r="V67" s="154" t="s">
        <v>544</v>
      </c>
      <c r="W67" s="83">
        <v>46263</v>
      </c>
      <c r="X67" s="151" t="s">
        <v>545</v>
      </c>
      <c r="Y67" s="171" t="s">
        <v>52</v>
      </c>
      <c r="Z67" s="196" t="str">
        <f t="shared" ca="1" si="1"/>
        <v>Vigente</v>
      </c>
      <c r="AA67" s="174">
        <v>46001</v>
      </c>
      <c r="AB67" s="85">
        <v>46730</v>
      </c>
      <c r="AC67" s="157" t="str">
        <f>IFERROR(IF(OR(AA67="-",AA67="",AB67="-",AB67=""),"-",CONCATENATE('Seguimiento OIT'!AB67-'Seguimiento OIT'!AA67+1," dias")),"-")</f>
        <v>730 dias</v>
      </c>
      <c r="AD67" s="114" t="str">
        <f t="shared" ca="1" si="2"/>
        <v>-</v>
      </c>
      <c r="AE67" s="80" t="s">
        <v>43</v>
      </c>
      <c r="AF67" s="82" t="s">
        <v>546</v>
      </c>
      <c r="AG67" s="140" t="s">
        <v>547</v>
      </c>
      <c r="AH67" s="218" t="s">
        <v>44</v>
      </c>
      <c r="AI67" s="219" t="str">
        <f t="shared" si="3"/>
        <v>-</v>
      </c>
      <c r="AJ67" s="219" t="str">
        <f t="shared" si="4"/>
        <v>-</v>
      </c>
      <c r="AK67" s="219" t="str">
        <f t="shared" si="5"/>
        <v>-</v>
      </c>
      <c r="AL67" s="225" t="str">
        <f t="shared" si="6"/>
        <v>-</v>
      </c>
    </row>
    <row r="68" spans="1:38" ht="44.1" customHeight="1">
      <c r="A68" s="97" t="s">
        <v>548</v>
      </c>
      <c r="B68" s="37" t="str">
        <f t="shared" ca="1" si="0"/>
        <v>SI</v>
      </c>
      <c r="C68" s="166" t="s">
        <v>43</v>
      </c>
      <c r="D68" s="61" t="s">
        <v>44</v>
      </c>
      <c r="E68" s="88" t="s">
        <v>349</v>
      </c>
      <c r="F68" s="88" t="s">
        <v>61</v>
      </c>
      <c r="G68" s="168" t="s">
        <v>47</v>
      </c>
      <c r="H68" s="84" t="s">
        <v>549</v>
      </c>
      <c r="I68" s="83" t="s">
        <v>550</v>
      </c>
      <c r="J68" s="84" t="s">
        <v>551</v>
      </c>
      <c r="K68" s="83" t="s">
        <v>51</v>
      </c>
      <c r="L68" s="80" t="s">
        <v>52</v>
      </c>
      <c r="M68" s="80" t="s">
        <v>52</v>
      </c>
      <c r="N68" s="80" t="s">
        <v>437</v>
      </c>
      <c r="O68" s="126">
        <v>800000</v>
      </c>
      <c r="P68" s="122">
        <v>46147</v>
      </c>
      <c r="Q68" s="117" t="s">
        <v>552</v>
      </c>
      <c r="R68" s="132" t="s">
        <v>327</v>
      </c>
      <c r="S68" s="152">
        <v>46198</v>
      </c>
      <c r="T68" s="68">
        <f ca="1">IFERROR(IF(OR(Q68="Ejecutado",Q68="No corresponde atención OGTI",Q68="Desistido",Q68="-",Q68="Para reformulación"),"-",IF(OR(S68="-",S68=""),"Falta fecha_estado",NETWORKDAYS(S68,TODAY(),{"02/04/2026";"03/04/2026";"30/06/2026"}))),"-")</f>
        <v>26</v>
      </c>
      <c r="U68" s="78" t="s">
        <v>43</v>
      </c>
      <c r="V68" s="155" t="s">
        <v>43</v>
      </c>
      <c r="W68" s="62" t="s">
        <v>43</v>
      </c>
      <c r="X68" s="152" t="s">
        <v>43</v>
      </c>
      <c r="Y68" s="171" t="s">
        <v>43</v>
      </c>
      <c r="Z68" s="196" t="str">
        <f t="shared" ca="1" si="1"/>
        <v>En tramite</v>
      </c>
      <c r="AA68" s="155" t="s">
        <v>43</v>
      </c>
      <c r="AB68" s="62" t="s">
        <v>43</v>
      </c>
      <c r="AC68" s="157" t="str">
        <f>IFERROR(IF(OR(AA68="-",AA68="",AB68="-",AB68=""),"-",CONCATENATE('Seguimiento OIT'!AB68-'Seguimiento OIT'!AA68+1," dias")),"-")</f>
        <v>-</v>
      </c>
      <c r="AD68" s="114" t="str">
        <f t="shared" ca="1" si="2"/>
        <v>-</v>
      </c>
      <c r="AE68" s="87" t="s">
        <v>553</v>
      </c>
      <c r="AF68" s="82" t="s">
        <v>43</v>
      </c>
      <c r="AG68" s="140" t="s">
        <v>554</v>
      </c>
      <c r="AH68" s="218" t="s">
        <v>44</v>
      </c>
      <c r="AI68" s="219" t="str">
        <f t="shared" si="3"/>
        <v>-</v>
      </c>
      <c r="AJ68" s="219" t="str">
        <f t="shared" si="4"/>
        <v>-</v>
      </c>
      <c r="AK68" s="219" t="str">
        <f t="shared" si="5"/>
        <v>-</v>
      </c>
      <c r="AL68" s="225" t="str">
        <f t="shared" si="6"/>
        <v>-</v>
      </c>
    </row>
    <row r="69" spans="1:38" ht="44.1" customHeight="1">
      <c r="A69" s="97" t="s">
        <v>555</v>
      </c>
      <c r="B69" s="37" t="str">
        <f t="shared" ref="B69:B132" ca="1" si="7">IF(OR(Q69="Desistido",Q69="No corresponde Atención OGTI",Q69="Para reformulación",Q69="Paralizado",Q69="-",Z69="Renovado",AND(AH69="NO",Z69="Culminado")),"NO","SI")</f>
        <v>SI</v>
      </c>
      <c r="C69" s="166" t="s">
        <v>43</v>
      </c>
      <c r="D69" s="61" t="s">
        <v>44</v>
      </c>
      <c r="E69" s="88" t="s">
        <v>45</v>
      </c>
      <c r="F69" s="88" t="s">
        <v>228</v>
      </c>
      <c r="G69" s="168" t="s">
        <v>47</v>
      </c>
      <c r="H69" s="84" t="s">
        <v>556</v>
      </c>
      <c r="I69" s="62" t="s">
        <v>557</v>
      </c>
      <c r="J69" s="84" t="s">
        <v>558</v>
      </c>
      <c r="K69" s="83" t="s">
        <v>73</v>
      </c>
      <c r="L69" s="80" t="s">
        <v>559</v>
      </c>
      <c r="M69" s="80" t="s">
        <v>75</v>
      </c>
      <c r="N69" s="80" t="s">
        <v>110</v>
      </c>
      <c r="O69" s="81" t="s">
        <v>280</v>
      </c>
      <c r="P69" s="122">
        <v>46198</v>
      </c>
      <c r="Q69" s="117" t="s">
        <v>560</v>
      </c>
      <c r="R69" s="132" t="s">
        <v>270</v>
      </c>
      <c r="S69" s="153">
        <v>46211</v>
      </c>
      <c r="T69" s="68">
        <f ca="1">IFERROR(IF(OR(Q69="Ejecutado",Q69="No corresponde atención OGTI",Q69="Desistido",Q69="-",Q69="Para reformulación"),"-",IF(OR(S69="-",S69=""),"Falta fecha_estado",NETWORKDAYS(S69,TODAY(),{"02/04/2026";"03/04/2026";"30/06/2026"}))),"-")</f>
        <v>18</v>
      </c>
      <c r="U69" s="78" t="s">
        <v>43</v>
      </c>
      <c r="V69" s="155" t="s">
        <v>43</v>
      </c>
      <c r="W69" s="62" t="s">
        <v>43</v>
      </c>
      <c r="X69" s="152" t="s">
        <v>43</v>
      </c>
      <c r="Y69" s="171" t="s">
        <v>43</v>
      </c>
      <c r="Z69" s="196" t="str">
        <f t="shared" ref="Z69:Z132" ca="1" si="8">IFERROR(IF(Q69="-","-",IF(Q69="Proceso de implementación/Activación/Entrega","Proceso de implementación/Activación/Entrega",IF(OR(Q69="Desistido",Q69="No corresponde atención OGTI",Q69="Para reformulación"),Q69,IF(AND(Q69="Ejecutado",AA69="No aplica",AB69="No Aplica"),"Culminado",IF(Q69="Ejecutado",IF(AND(AC69="-",G69="Bienes"),"Culminado",IF(AC69="-","Falta informacion",IF(AND(AB69-TODAY()&gt;=0,AB69-TODAY()&lt;=90),"Vigente_por vencer",IF(AND(AH69&lt;&gt;"SI",AB69&lt;TODAY()),"Culminado",IF(AND(AH69="SI",AB69&lt;TODAY(),OR(AK69="Sin Registro",AL69="Sin Registro")),"Vencido",IF(AND(AH69="SI",AB69&lt;TODAY(),AK69&gt;AA69,AL69&gt;AB69),"Renovado","Vigente")))))),"En tramite"))))),"-")</f>
        <v>En tramite</v>
      </c>
      <c r="AA69" s="155" t="s">
        <v>43</v>
      </c>
      <c r="AB69" s="62" t="s">
        <v>43</v>
      </c>
      <c r="AC69" s="157" t="str">
        <f>IFERROR(IF(OR(AA69="-",AA69="",AB69="-",AB69=""),"-",CONCATENATE('Seguimiento OIT'!AB69-'Seguimiento OIT'!AA69+1," dias")),"-")</f>
        <v>-</v>
      </c>
      <c r="AD69" s="114" t="str">
        <f t="shared" ca="1" si="2"/>
        <v>-</v>
      </c>
      <c r="AE69" s="96" t="s">
        <v>561</v>
      </c>
      <c r="AF69" s="82" t="s">
        <v>43</v>
      </c>
      <c r="AG69" s="140" t="s">
        <v>562</v>
      </c>
      <c r="AH69" s="218" t="s">
        <v>44</v>
      </c>
      <c r="AI69" s="219" t="str">
        <f t="shared" ref="AI69:AI132" si="9">IFERROR(IF(AH69="SI",VLOOKUP(A69,$C$4:$AL$151,15,FALSE),"-"),"Sin tramite")</f>
        <v>-</v>
      </c>
      <c r="AJ69" s="219" t="str">
        <f t="shared" ref="AJ69:AJ132" si="10">IFERROR(IF(AH69="SI",VLOOKUP(A69,$C$4:$AL$151,7,FALSE),"-"),"Sin HR")</f>
        <v>-</v>
      </c>
      <c r="AK69" s="219" t="str">
        <f t="shared" ref="AK69:AK132" si="11">IF(AH69="SI",IFERROR(IF(VLOOKUP(A69,$C$4:$AL$151,25,FALSE)="","Sin registro",VLOOKUP(A69,$C$4:$AL$151,25,FALSE)),"Sin registro"),"-")</f>
        <v>-</v>
      </c>
      <c r="AL69" s="225" t="str">
        <f t="shared" ref="AL69:AL132" si="12">IF(AH69="SI",IFERROR(IF(VLOOKUP(A69,$C$4:$AL$151,26,FALSE)="","Sin registro",VLOOKUP(A69,$C$4:$AL$151,26,FALSE)),"Sin registro"),"-")</f>
        <v>-</v>
      </c>
    </row>
    <row r="70" spans="1:38" ht="56.25" customHeight="1">
      <c r="A70" s="97" t="s">
        <v>563</v>
      </c>
      <c r="B70" s="37" t="str">
        <f t="shared" ca="1" si="7"/>
        <v>SI</v>
      </c>
      <c r="C70" s="166" t="s">
        <v>43</v>
      </c>
      <c r="D70" s="61">
        <v>2026</v>
      </c>
      <c r="E70" s="88" t="s">
        <v>349</v>
      </c>
      <c r="F70" s="88" t="s">
        <v>61</v>
      </c>
      <c r="G70" s="168" t="s">
        <v>69</v>
      </c>
      <c r="H70" s="84" t="s">
        <v>564</v>
      </c>
      <c r="I70" s="83" t="s">
        <v>565</v>
      </c>
      <c r="J70" s="84" t="s">
        <v>566</v>
      </c>
      <c r="K70" s="83" t="s">
        <v>370</v>
      </c>
      <c r="L70" s="80" t="s">
        <v>371</v>
      </c>
      <c r="M70" s="80" t="s">
        <v>372</v>
      </c>
      <c r="N70" s="80" t="s">
        <v>196</v>
      </c>
      <c r="O70" s="126"/>
      <c r="P70" s="122">
        <v>46038</v>
      </c>
      <c r="Q70" s="117" t="s">
        <v>552</v>
      </c>
      <c r="R70" s="132" t="s">
        <v>327</v>
      </c>
      <c r="S70" s="153">
        <v>46146</v>
      </c>
      <c r="T70" s="68">
        <f ca="1">IFERROR(IF(OR(Q70="Ejecutado",Q70="No corresponde atención OGTI",Q70="Desistido",Q70="-",Q70="Para reformulación"),"-",IF(OR(S70="-",S70=""),"Falta fecha_estado",NETWORKDAYS(S70,TODAY(),{"02/04/2026";"03/04/2026";"30/06/2026"}))),"-")</f>
        <v>64</v>
      </c>
      <c r="U70" s="78" t="s">
        <v>43</v>
      </c>
      <c r="V70" s="155" t="s">
        <v>43</v>
      </c>
      <c r="W70" s="62" t="s">
        <v>43</v>
      </c>
      <c r="X70" s="152" t="s">
        <v>43</v>
      </c>
      <c r="Y70" s="171" t="s">
        <v>43</v>
      </c>
      <c r="Z70" s="196" t="str">
        <f t="shared" ca="1" si="8"/>
        <v>En tramite</v>
      </c>
      <c r="AA70" s="155" t="s">
        <v>43</v>
      </c>
      <c r="AB70" s="62" t="s">
        <v>43</v>
      </c>
      <c r="AC70" s="157" t="str">
        <f>IFERROR(IF(OR(AA70="-",AA70="",AB70="-",AB70=""),"-",CONCATENATE('Seguimiento OIT'!AB70-'Seguimiento OIT'!AA70+1," dias")),"-")</f>
        <v>-</v>
      </c>
      <c r="AD70" s="114" t="str">
        <f t="shared" ref="AD70:AD151" ca="1" si="13">IFERROR(IF(Z70="Vencido",(TODAY()-AB70)+1,"-"),"-")</f>
        <v>-</v>
      </c>
      <c r="AE70" s="87" t="s">
        <v>567</v>
      </c>
      <c r="AF70" s="82" t="s">
        <v>43</v>
      </c>
      <c r="AG70" s="140" t="s">
        <v>568</v>
      </c>
      <c r="AH70" s="218" t="s">
        <v>44</v>
      </c>
      <c r="AI70" s="219" t="str">
        <f t="shared" si="9"/>
        <v>-</v>
      </c>
      <c r="AJ70" s="219" t="str">
        <f t="shared" si="10"/>
        <v>-</v>
      </c>
      <c r="AK70" s="219" t="str">
        <f t="shared" si="11"/>
        <v>-</v>
      </c>
      <c r="AL70" s="225" t="str">
        <f t="shared" si="12"/>
        <v>-</v>
      </c>
    </row>
    <row r="71" spans="1:38" ht="44.1" customHeight="1">
      <c r="A71" s="97" t="s">
        <v>569</v>
      </c>
      <c r="B71" s="37" t="str">
        <f t="shared" ca="1" si="7"/>
        <v>SI</v>
      </c>
      <c r="C71" s="166" t="s">
        <v>43</v>
      </c>
      <c r="D71" s="61" t="s">
        <v>44</v>
      </c>
      <c r="E71" s="88" t="s">
        <v>349</v>
      </c>
      <c r="F71" s="88" t="s">
        <v>61</v>
      </c>
      <c r="G71" s="168" t="s">
        <v>69</v>
      </c>
      <c r="H71" s="60" t="s">
        <v>570</v>
      </c>
      <c r="I71" s="62" t="s">
        <v>571</v>
      </c>
      <c r="J71" s="127" t="s">
        <v>572</v>
      </c>
      <c r="K71" s="83" t="s">
        <v>370</v>
      </c>
      <c r="L71" s="80" t="s">
        <v>371</v>
      </c>
      <c r="M71" s="80" t="s">
        <v>573</v>
      </c>
      <c r="N71" s="80" t="s">
        <v>196</v>
      </c>
      <c r="O71" s="81" t="s">
        <v>280</v>
      </c>
      <c r="P71" s="122">
        <v>46037</v>
      </c>
      <c r="Q71" s="117" t="s">
        <v>552</v>
      </c>
      <c r="R71" s="132" t="s">
        <v>327</v>
      </c>
      <c r="S71" s="153">
        <v>46091</v>
      </c>
      <c r="T71" s="68">
        <f ca="1">IFERROR(IF(OR(Q71="Ejecutado",Q71="No corresponde atención OGTI",Q71="Desistido",Q71="-",Q71="Para reformulación"),"-",IF(OR(S71="-",S71=""),"Falta fecha_estado",NETWORKDAYS(S71,TODAY(),{"02/04/2026";"03/04/2026";"30/06/2026"}))),"-")</f>
        <v>101</v>
      </c>
      <c r="U71" s="78" t="s">
        <v>43</v>
      </c>
      <c r="V71" s="155" t="s">
        <v>43</v>
      </c>
      <c r="W71" s="62" t="s">
        <v>43</v>
      </c>
      <c r="X71" s="152" t="s">
        <v>43</v>
      </c>
      <c r="Y71" s="171" t="s">
        <v>43</v>
      </c>
      <c r="Z71" s="196" t="str">
        <f t="shared" ca="1" si="8"/>
        <v>En tramite</v>
      </c>
      <c r="AA71" s="155" t="s">
        <v>43</v>
      </c>
      <c r="AB71" s="62" t="s">
        <v>43</v>
      </c>
      <c r="AC71" s="157" t="str">
        <f>IFERROR(IF(OR(AA71="-",AA71="",AB71="-",AB71=""),"-",CONCATENATE('Seguimiento OIT'!AB71-'Seguimiento OIT'!AA71+1," dias")),"-")</f>
        <v>-</v>
      </c>
      <c r="AD71" s="114" t="str">
        <f t="shared" ca="1" si="13"/>
        <v>-</v>
      </c>
      <c r="AE71" s="87" t="s">
        <v>567</v>
      </c>
      <c r="AF71" s="82" t="s">
        <v>43</v>
      </c>
      <c r="AG71" s="140" t="s">
        <v>574</v>
      </c>
      <c r="AH71" s="218" t="s">
        <v>44</v>
      </c>
      <c r="AI71" s="219" t="str">
        <f t="shared" si="9"/>
        <v>-</v>
      </c>
      <c r="AJ71" s="219" t="str">
        <f t="shared" si="10"/>
        <v>-</v>
      </c>
      <c r="AK71" s="219" t="str">
        <f t="shared" si="11"/>
        <v>-</v>
      </c>
      <c r="AL71" s="225" t="str">
        <f t="shared" si="12"/>
        <v>-</v>
      </c>
    </row>
    <row r="72" spans="1:38" ht="44.1" customHeight="1">
      <c r="A72" s="97" t="s">
        <v>575</v>
      </c>
      <c r="B72" s="37" t="str">
        <f t="shared" ca="1" si="7"/>
        <v>SI</v>
      </c>
      <c r="C72" s="166" t="s">
        <v>43</v>
      </c>
      <c r="D72" s="61">
        <v>2026</v>
      </c>
      <c r="E72" s="88" t="s">
        <v>349</v>
      </c>
      <c r="F72" s="88" t="s">
        <v>61</v>
      </c>
      <c r="G72" s="168" t="s">
        <v>69</v>
      </c>
      <c r="H72" s="84" t="s">
        <v>576</v>
      </c>
      <c r="I72" s="83" t="s">
        <v>577</v>
      </c>
      <c r="J72" s="84" t="s">
        <v>578</v>
      </c>
      <c r="K72" s="83" t="s">
        <v>370</v>
      </c>
      <c r="L72" s="80" t="s">
        <v>371</v>
      </c>
      <c r="M72" s="80" t="s">
        <v>372</v>
      </c>
      <c r="N72" s="80" t="s">
        <v>196</v>
      </c>
      <c r="O72" s="81" t="s">
        <v>280</v>
      </c>
      <c r="P72" s="122">
        <v>46037</v>
      </c>
      <c r="Q72" s="117" t="s">
        <v>560</v>
      </c>
      <c r="R72" s="132" t="s">
        <v>579</v>
      </c>
      <c r="S72" s="153">
        <v>46223</v>
      </c>
      <c r="T72" s="68">
        <f ca="1">IFERROR(IF(OR(Q72="Ejecutado",Q72="No corresponde atención OGTI",Q72="Desistido",Q72="-",Q72="Para reformulación"),"-",IF(OR(S72="-",S72=""),"Falta fecha_estado",NETWORKDAYS(S72,TODAY(),{"02/04/2026";"03/04/2026";"30/06/2026"}))),"-")</f>
        <v>10</v>
      </c>
      <c r="U72" s="78" t="s">
        <v>43</v>
      </c>
      <c r="V72" s="155" t="s">
        <v>43</v>
      </c>
      <c r="W72" s="62" t="s">
        <v>43</v>
      </c>
      <c r="X72" s="152" t="s">
        <v>43</v>
      </c>
      <c r="Y72" s="171" t="s">
        <v>43</v>
      </c>
      <c r="Z72" s="196" t="str">
        <f t="shared" ca="1" si="8"/>
        <v>En tramite</v>
      </c>
      <c r="AA72" s="155" t="s">
        <v>43</v>
      </c>
      <c r="AB72" s="62" t="s">
        <v>43</v>
      </c>
      <c r="AC72" s="157" t="str">
        <f>IFERROR(IF(OR(AA72="-",AA72="",AB72="-",AB72=""),"-",CONCATENATE('Seguimiento OIT'!AB72-'Seguimiento OIT'!AA72+1," dias")),"-")</f>
        <v>-</v>
      </c>
      <c r="AD72" s="114" t="str">
        <f t="shared" ca="1" si="13"/>
        <v>-</v>
      </c>
      <c r="AE72" s="96" t="s">
        <v>580</v>
      </c>
      <c r="AF72" s="82" t="s">
        <v>43</v>
      </c>
      <c r="AG72" s="140" t="s">
        <v>581</v>
      </c>
      <c r="AH72" s="218" t="s">
        <v>44</v>
      </c>
      <c r="AI72" s="219" t="str">
        <f t="shared" si="9"/>
        <v>-</v>
      </c>
      <c r="AJ72" s="219" t="str">
        <f t="shared" si="10"/>
        <v>-</v>
      </c>
      <c r="AK72" s="219" t="str">
        <f t="shared" si="11"/>
        <v>-</v>
      </c>
      <c r="AL72" s="225" t="str">
        <f t="shared" si="12"/>
        <v>-</v>
      </c>
    </row>
    <row r="73" spans="1:38" ht="70.5" customHeight="1">
      <c r="A73" s="97" t="s">
        <v>582</v>
      </c>
      <c r="B73" s="37" t="str">
        <f t="shared" ca="1" si="7"/>
        <v>SI</v>
      </c>
      <c r="C73" s="166" t="s">
        <v>43</v>
      </c>
      <c r="D73" s="61">
        <v>2026</v>
      </c>
      <c r="E73" s="88" t="s">
        <v>349</v>
      </c>
      <c r="F73" s="88" t="s">
        <v>61</v>
      </c>
      <c r="G73" s="168" t="s">
        <v>69</v>
      </c>
      <c r="H73" s="84" t="s">
        <v>583</v>
      </c>
      <c r="I73" s="83" t="s">
        <v>584</v>
      </c>
      <c r="J73" s="84" t="s">
        <v>585</v>
      </c>
      <c r="K73" s="83" t="s">
        <v>370</v>
      </c>
      <c r="L73" s="80" t="s">
        <v>371</v>
      </c>
      <c r="M73" s="80" t="s">
        <v>372</v>
      </c>
      <c r="N73" s="80" t="s">
        <v>196</v>
      </c>
      <c r="O73" s="81">
        <v>259738</v>
      </c>
      <c r="P73" s="122">
        <v>46038</v>
      </c>
      <c r="Q73" s="116" t="s">
        <v>54</v>
      </c>
      <c r="R73" s="132" t="s">
        <v>43</v>
      </c>
      <c r="S73" s="153" t="s">
        <v>43</v>
      </c>
      <c r="T73" s="68" t="str">
        <f ca="1">IFERROR(IF(OR(Q73="Ejecutado",Q73="No corresponde atención OGTI",Q73="Desistido",Q73="-",Q73="Para reformulación"),"-",IF(OR(S73="-",S73=""),"Falta fecha_estado",NETWORKDAYS(S73,TODAY(),{"02/04/2026";"03/04/2026";"30/06/2026"}))),"-")</f>
        <v>-</v>
      </c>
      <c r="U73" s="78" t="s">
        <v>224</v>
      </c>
      <c r="V73" s="155" t="s">
        <v>586</v>
      </c>
      <c r="W73" s="62">
        <v>46197</v>
      </c>
      <c r="X73" s="152" t="s">
        <v>587</v>
      </c>
      <c r="Y73" s="171" t="s">
        <v>372</v>
      </c>
      <c r="Z73" s="196" t="str">
        <f t="shared" ca="1" si="8"/>
        <v>Vigente</v>
      </c>
      <c r="AA73" s="173">
        <v>46204</v>
      </c>
      <c r="AB73" s="74">
        <v>46568</v>
      </c>
      <c r="AC73" s="157" t="str">
        <f>IFERROR(IF(OR(AA73="-",AA73="",AB73="-",AB73=""),"-",CONCATENATE('Seguimiento OIT'!AB73-'Seguimiento OIT'!AA73+1," dias")),"-")</f>
        <v>365 dias</v>
      </c>
      <c r="AD73" s="114" t="str">
        <f t="shared" ca="1" si="13"/>
        <v>-</v>
      </c>
      <c r="AE73" s="96" t="s">
        <v>588</v>
      </c>
      <c r="AF73" s="82" t="s">
        <v>43</v>
      </c>
      <c r="AG73" s="140" t="s">
        <v>589</v>
      </c>
      <c r="AH73" s="218" t="s">
        <v>44</v>
      </c>
      <c r="AI73" s="219" t="str">
        <f t="shared" si="9"/>
        <v>-</v>
      </c>
      <c r="AJ73" s="219" t="str">
        <f t="shared" si="10"/>
        <v>-</v>
      </c>
      <c r="AK73" s="219" t="str">
        <f t="shared" si="11"/>
        <v>-</v>
      </c>
      <c r="AL73" s="225" t="str">
        <f t="shared" si="12"/>
        <v>-</v>
      </c>
    </row>
    <row r="74" spans="1:38" ht="44.1" customHeight="1">
      <c r="A74" s="97" t="s">
        <v>590</v>
      </c>
      <c r="B74" s="37" t="str">
        <f t="shared" ca="1" si="7"/>
        <v>SI</v>
      </c>
      <c r="C74" s="166" t="s">
        <v>43</v>
      </c>
      <c r="D74" s="61">
        <v>2026</v>
      </c>
      <c r="E74" s="88" t="s">
        <v>349</v>
      </c>
      <c r="F74" s="88" t="s">
        <v>61</v>
      </c>
      <c r="G74" s="168" t="s">
        <v>69</v>
      </c>
      <c r="H74" s="84" t="s">
        <v>591</v>
      </c>
      <c r="I74" s="83" t="s">
        <v>592</v>
      </c>
      <c r="J74" s="84" t="s">
        <v>593</v>
      </c>
      <c r="K74" s="83" t="s">
        <v>370</v>
      </c>
      <c r="L74" s="80" t="s">
        <v>371</v>
      </c>
      <c r="M74" s="80" t="s">
        <v>594</v>
      </c>
      <c r="N74" s="80" t="s">
        <v>196</v>
      </c>
      <c r="O74" s="81">
        <v>300000</v>
      </c>
      <c r="P74" s="122">
        <v>46037</v>
      </c>
      <c r="Q74" s="116" t="s">
        <v>54</v>
      </c>
      <c r="R74" s="132" t="s">
        <v>43</v>
      </c>
      <c r="S74" s="153" t="s">
        <v>43</v>
      </c>
      <c r="T74" s="68" t="str">
        <f ca="1">IFERROR(IF(OR(Q74="Ejecutado",Q74="No corresponde atención OGTI",Q74="Desistido",Q74="-",Q74="Para reformulación"),"-",IF(OR(S74="-",S74=""),"Falta fecha_estado",NETWORKDAYS(S74,TODAY(),{"02/04/2026";"03/04/2026";"30/06/2026"}))),"-")</f>
        <v>-</v>
      </c>
      <c r="U74" s="78" t="s">
        <v>224</v>
      </c>
      <c r="V74" s="155" t="s">
        <v>595</v>
      </c>
      <c r="W74" s="62">
        <v>46171</v>
      </c>
      <c r="X74" s="152" t="s">
        <v>189</v>
      </c>
      <c r="Y74" s="171" t="s">
        <v>371</v>
      </c>
      <c r="Z74" s="196" t="str">
        <f t="shared" ca="1" si="8"/>
        <v>Vigente</v>
      </c>
      <c r="AA74" s="173">
        <v>46220</v>
      </c>
      <c r="AB74" s="74">
        <v>46939</v>
      </c>
      <c r="AC74" s="157" t="str">
        <f>IFERROR(IF(OR(AA74="-",AA74="",AB74="-",AB74=""),"-",CONCATENATE('Seguimiento OIT'!AB74-'Seguimiento OIT'!AA74+1," dias")),"-")</f>
        <v>720 dias</v>
      </c>
      <c r="AD74" s="114" t="str">
        <f t="shared" ca="1" si="13"/>
        <v>-</v>
      </c>
      <c r="AE74" s="80" t="s">
        <v>43</v>
      </c>
      <c r="AF74" s="82" t="s">
        <v>43</v>
      </c>
      <c r="AG74" s="140" t="s">
        <v>596</v>
      </c>
      <c r="AH74" s="218" t="s">
        <v>44</v>
      </c>
      <c r="AI74" s="219" t="str">
        <f t="shared" si="9"/>
        <v>-</v>
      </c>
      <c r="AJ74" s="219" t="str">
        <f t="shared" si="10"/>
        <v>-</v>
      </c>
      <c r="AK74" s="219" t="str">
        <f t="shared" si="11"/>
        <v>-</v>
      </c>
      <c r="AL74" s="225" t="str">
        <f t="shared" si="12"/>
        <v>-</v>
      </c>
    </row>
    <row r="75" spans="1:38" ht="44.1" customHeight="1">
      <c r="A75" s="97" t="s">
        <v>597</v>
      </c>
      <c r="B75" s="37" t="str">
        <f t="shared" ca="1" si="7"/>
        <v>SI</v>
      </c>
      <c r="C75" s="166" t="s">
        <v>43</v>
      </c>
      <c r="D75" s="61" t="s">
        <v>44</v>
      </c>
      <c r="E75" s="88" t="s">
        <v>349</v>
      </c>
      <c r="F75" s="88" t="s">
        <v>61</v>
      </c>
      <c r="G75" s="168" t="s">
        <v>69</v>
      </c>
      <c r="H75" s="84" t="s">
        <v>598</v>
      </c>
      <c r="I75" s="83" t="s">
        <v>599</v>
      </c>
      <c r="J75" s="84" t="s">
        <v>600</v>
      </c>
      <c r="K75" s="83" t="s">
        <v>370</v>
      </c>
      <c r="L75" s="80" t="s">
        <v>371</v>
      </c>
      <c r="M75" s="80" t="s">
        <v>601</v>
      </c>
      <c r="N75" s="80" t="s">
        <v>196</v>
      </c>
      <c r="O75" s="81">
        <v>43950.25</v>
      </c>
      <c r="P75" s="122">
        <v>46057</v>
      </c>
      <c r="Q75" s="117" t="s">
        <v>54</v>
      </c>
      <c r="R75" s="132" t="s">
        <v>43</v>
      </c>
      <c r="S75" s="153" t="s">
        <v>43</v>
      </c>
      <c r="T75" s="68" t="str">
        <f ca="1">IFERROR(IF(OR(Q75="Ejecutado",Q75="No corresponde atención OGTI",Q75="Desistido",Q75="-",Q75="Para reformulación"),"-",IF(OR(S75="-",S75=""),"Falta fecha_estado",NETWORKDAYS(S75,TODAY(),{"02/04/2026";"03/04/2026";"30/06/2026"}))),"-")</f>
        <v>-</v>
      </c>
      <c r="U75" s="78" t="s">
        <v>77</v>
      </c>
      <c r="V75" s="155" t="s">
        <v>602</v>
      </c>
      <c r="W75" s="62">
        <v>46099</v>
      </c>
      <c r="X75" s="152" t="s">
        <v>603</v>
      </c>
      <c r="Y75" s="171" t="s">
        <v>601</v>
      </c>
      <c r="Z75" s="196" t="str">
        <f t="shared" ca="1" si="8"/>
        <v>Vigente</v>
      </c>
      <c r="AA75" s="173">
        <v>46107</v>
      </c>
      <c r="AB75" s="74">
        <v>46376</v>
      </c>
      <c r="AC75" s="157" t="str">
        <f>IFERROR(IF(OR(AA75="-",AA75="",AB75="-",AB75=""),"-",CONCATENATE('Seguimiento OIT'!AB75-'Seguimiento OIT'!AA75+1," dias")),"-")</f>
        <v>270 dias</v>
      </c>
      <c r="AD75" s="114" t="str">
        <f t="shared" ca="1" si="13"/>
        <v>-</v>
      </c>
      <c r="AE75" s="80" t="s">
        <v>43</v>
      </c>
      <c r="AF75" s="82" t="s">
        <v>43</v>
      </c>
      <c r="AG75" s="140" t="s">
        <v>604</v>
      </c>
      <c r="AH75" s="218" t="s">
        <v>44</v>
      </c>
      <c r="AI75" s="219" t="str">
        <f t="shared" si="9"/>
        <v>-</v>
      </c>
      <c r="AJ75" s="219" t="str">
        <f t="shared" si="10"/>
        <v>-</v>
      </c>
      <c r="AK75" s="219" t="str">
        <f t="shared" si="11"/>
        <v>-</v>
      </c>
      <c r="AL75" s="225" t="str">
        <f t="shared" si="12"/>
        <v>-</v>
      </c>
    </row>
    <row r="76" spans="1:38" ht="44.1" customHeight="1">
      <c r="A76" s="97" t="s">
        <v>605</v>
      </c>
      <c r="B76" s="37" t="str">
        <f t="shared" ca="1" si="7"/>
        <v>SI</v>
      </c>
      <c r="C76" s="166" t="s">
        <v>43</v>
      </c>
      <c r="D76" s="61">
        <v>2026</v>
      </c>
      <c r="E76" s="88" t="s">
        <v>349</v>
      </c>
      <c r="F76" s="88" t="s">
        <v>61</v>
      </c>
      <c r="G76" s="168" t="s">
        <v>69</v>
      </c>
      <c r="H76" s="84" t="s">
        <v>606</v>
      </c>
      <c r="I76" s="83" t="s">
        <v>607</v>
      </c>
      <c r="J76" s="84" t="s">
        <v>608</v>
      </c>
      <c r="K76" s="83" t="s">
        <v>370</v>
      </c>
      <c r="L76" s="80" t="s">
        <v>371</v>
      </c>
      <c r="M76" s="80" t="s">
        <v>372</v>
      </c>
      <c r="N76" s="80" t="s">
        <v>196</v>
      </c>
      <c r="O76" s="81">
        <v>287400</v>
      </c>
      <c r="P76" s="122">
        <v>46038</v>
      </c>
      <c r="Q76" s="117" t="s">
        <v>54</v>
      </c>
      <c r="R76" s="132" t="s">
        <v>43</v>
      </c>
      <c r="S76" s="153" t="s">
        <v>43</v>
      </c>
      <c r="T76" s="68" t="str">
        <f ca="1">IFERROR(IF(OR(Q76="Ejecutado",Q76="No corresponde atención OGTI",Q76="Desistido",Q76="-",Q76="Para reformulación"),"-",IF(OR(S76="-",S76=""),"Falta fecha_estado",NETWORKDAYS(S76,TODAY(),{"02/04/2026";"03/04/2026";"30/06/2026"}))),"-")</f>
        <v>-</v>
      </c>
      <c r="U76" s="78" t="s">
        <v>224</v>
      </c>
      <c r="V76" s="155" t="s">
        <v>609</v>
      </c>
      <c r="W76" s="62">
        <v>46169</v>
      </c>
      <c r="X76" s="152" t="s">
        <v>610</v>
      </c>
      <c r="Y76" s="171" t="s">
        <v>372</v>
      </c>
      <c r="Z76" s="196" t="str">
        <f t="shared" ca="1" si="8"/>
        <v>Vigente</v>
      </c>
      <c r="AA76" s="173">
        <v>46170</v>
      </c>
      <c r="AB76" s="74">
        <v>46534</v>
      </c>
      <c r="AC76" s="157" t="str">
        <f>IFERROR(IF(OR(AA76="-",AA76="",AB76="-",AB76=""),"-",CONCATENATE('Seguimiento OIT'!AB76-'Seguimiento OIT'!AA76+1," dias")),"-")</f>
        <v>365 dias</v>
      </c>
      <c r="AD76" s="114" t="str">
        <f t="shared" ca="1" si="13"/>
        <v>-</v>
      </c>
      <c r="AE76" s="80" t="s">
        <v>43</v>
      </c>
      <c r="AF76" s="82" t="s">
        <v>43</v>
      </c>
      <c r="AG76" s="140" t="s">
        <v>611</v>
      </c>
      <c r="AH76" s="218" t="s">
        <v>44</v>
      </c>
      <c r="AI76" s="219" t="str">
        <f t="shared" si="9"/>
        <v>-</v>
      </c>
      <c r="AJ76" s="219" t="str">
        <f t="shared" si="10"/>
        <v>-</v>
      </c>
      <c r="AK76" s="219" t="str">
        <f t="shared" si="11"/>
        <v>-</v>
      </c>
      <c r="AL76" s="225" t="str">
        <f t="shared" si="12"/>
        <v>-</v>
      </c>
    </row>
    <row r="77" spans="1:38" ht="44.1" customHeight="1">
      <c r="A77" s="97" t="s">
        <v>612</v>
      </c>
      <c r="B77" s="37" t="str">
        <f t="shared" ca="1" si="7"/>
        <v>SI</v>
      </c>
      <c r="C77" s="166" t="s">
        <v>43</v>
      </c>
      <c r="D77" s="61" t="s">
        <v>44</v>
      </c>
      <c r="E77" s="88" t="s">
        <v>45</v>
      </c>
      <c r="F77" s="88" t="s">
        <v>61</v>
      </c>
      <c r="G77" s="168" t="s">
        <v>69</v>
      </c>
      <c r="H77" s="84" t="s">
        <v>613</v>
      </c>
      <c r="I77" s="83" t="s">
        <v>614</v>
      </c>
      <c r="J77" s="84" t="s">
        <v>615</v>
      </c>
      <c r="K77" s="83" t="s">
        <v>370</v>
      </c>
      <c r="L77" s="80" t="s">
        <v>371</v>
      </c>
      <c r="M77" s="80" t="s">
        <v>372</v>
      </c>
      <c r="N77" s="80" t="s">
        <v>616</v>
      </c>
      <c r="O77" s="81">
        <v>43910</v>
      </c>
      <c r="P77" s="122">
        <v>46101</v>
      </c>
      <c r="Q77" s="117" t="s">
        <v>54</v>
      </c>
      <c r="R77" s="132" t="s">
        <v>43</v>
      </c>
      <c r="S77" s="153" t="s">
        <v>43</v>
      </c>
      <c r="T77" s="68" t="str">
        <f ca="1">IFERROR(IF(OR(Q77="Ejecutado",Q77="No corresponde atención OGTI",Q77="Desistido",Q77="-",Q77="Para reformulación"),"-",IF(OR(S77="-",S77=""),"Falta fecha_estado",NETWORKDAYS(S77,TODAY(),{"02/04/2026";"03/04/2026";"30/06/2026"}))),"-")</f>
        <v>-</v>
      </c>
      <c r="U77" s="78" t="s">
        <v>77</v>
      </c>
      <c r="V77" s="155" t="s">
        <v>617</v>
      </c>
      <c r="W77" s="62">
        <v>46087</v>
      </c>
      <c r="X77" s="152" t="s">
        <v>618</v>
      </c>
      <c r="Y77" s="171" t="s">
        <v>372</v>
      </c>
      <c r="Z77" s="196" t="str">
        <f t="shared" ca="1" si="8"/>
        <v>Vigente</v>
      </c>
      <c r="AA77" s="173">
        <v>46094</v>
      </c>
      <c r="AB77" s="74">
        <v>46458</v>
      </c>
      <c r="AC77" s="157" t="str">
        <f>IFERROR(IF(OR(AA77="-",AA77="",AB77="-",AB77=""),"-",CONCATENATE('Seguimiento OIT'!AB77-'Seguimiento OIT'!AA77+1," dias")),"-")</f>
        <v>365 dias</v>
      </c>
      <c r="AD77" s="114" t="str">
        <f t="shared" ca="1" si="13"/>
        <v>-</v>
      </c>
      <c r="AE77" s="80" t="s">
        <v>43</v>
      </c>
      <c r="AF77" s="82" t="s">
        <v>619</v>
      </c>
      <c r="AG77" s="140" t="s">
        <v>620</v>
      </c>
      <c r="AH77" s="218" t="s">
        <v>44</v>
      </c>
      <c r="AI77" s="219" t="str">
        <f t="shared" si="9"/>
        <v>-</v>
      </c>
      <c r="AJ77" s="219" t="str">
        <f t="shared" si="10"/>
        <v>-</v>
      </c>
      <c r="AK77" s="219" t="str">
        <f t="shared" si="11"/>
        <v>-</v>
      </c>
      <c r="AL77" s="225" t="str">
        <f t="shared" si="12"/>
        <v>-</v>
      </c>
    </row>
    <row r="78" spans="1:38" ht="56.25" customHeight="1">
      <c r="A78" s="97" t="s">
        <v>621</v>
      </c>
      <c r="B78" s="37" t="str">
        <f t="shared" ca="1" si="7"/>
        <v>SI</v>
      </c>
      <c r="C78" s="166"/>
      <c r="D78" s="61" t="s">
        <v>44</v>
      </c>
      <c r="E78" s="88" t="s">
        <v>45</v>
      </c>
      <c r="F78" s="88" t="s">
        <v>61</v>
      </c>
      <c r="G78" s="168" t="s">
        <v>69</v>
      </c>
      <c r="H78" s="84" t="s">
        <v>622</v>
      </c>
      <c r="I78" s="83" t="s">
        <v>623</v>
      </c>
      <c r="J78" s="84" t="s">
        <v>624</v>
      </c>
      <c r="K78" s="83" t="s">
        <v>625</v>
      </c>
      <c r="L78" s="80" t="s">
        <v>626</v>
      </c>
      <c r="M78" s="80" t="s">
        <v>626</v>
      </c>
      <c r="N78" s="80" t="s">
        <v>196</v>
      </c>
      <c r="O78" s="81">
        <v>28300</v>
      </c>
      <c r="P78" s="122">
        <v>45882</v>
      </c>
      <c r="Q78" s="117" t="s">
        <v>54</v>
      </c>
      <c r="R78" s="132" t="s">
        <v>43</v>
      </c>
      <c r="S78" s="153" t="s">
        <v>43</v>
      </c>
      <c r="T78" s="68" t="str">
        <f ca="1">IFERROR(IF(OR(Q78="Ejecutado",Q78="No corresponde atención OGTI",Q78="Desistido",Q78="-",Q78="Para reformulación"),"-",IF(OR(S78="-",S78=""),"Falta fecha_estado",NETWORKDAYS(S78,TODAY(),{"02/04/2026";"03/04/2026";"30/06/2026"}))),"-")</f>
        <v>-</v>
      </c>
      <c r="U78" s="78" t="s">
        <v>77</v>
      </c>
      <c r="V78" s="155" t="s">
        <v>627</v>
      </c>
      <c r="W78" s="62">
        <v>45901</v>
      </c>
      <c r="X78" s="152" t="s">
        <v>628</v>
      </c>
      <c r="Y78" s="171" t="s">
        <v>626</v>
      </c>
      <c r="Z78" s="196" t="str">
        <f t="shared" ca="1" si="8"/>
        <v>Vigente_por vencer</v>
      </c>
      <c r="AA78" s="173">
        <v>45905</v>
      </c>
      <c r="AB78" s="74">
        <v>46270</v>
      </c>
      <c r="AC78" s="157" t="str">
        <f>IFERROR(IF(OR(AA78="-",AA78="",AB78="-",AB78=""),"-",CONCATENATE('Seguimiento OIT'!AB78-'Seguimiento OIT'!AA78+1," dias")),"-")</f>
        <v>366 dias</v>
      </c>
      <c r="AD78" s="114" t="str">
        <f ca="1">IFERROR(IF(Z78="Vencido",(TODAY()-AB78)+1,"-"),"-")</f>
        <v>-</v>
      </c>
      <c r="AE78" s="80" t="s">
        <v>629</v>
      </c>
      <c r="AF78" s="82" t="s">
        <v>630</v>
      </c>
      <c r="AG78" s="140" t="s">
        <v>631</v>
      </c>
      <c r="AH78" s="218" t="s">
        <v>44</v>
      </c>
      <c r="AI78" s="219" t="str">
        <f t="shared" si="9"/>
        <v>-</v>
      </c>
      <c r="AJ78" s="219" t="str">
        <f t="shared" si="10"/>
        <v>-</v>
      </c>
      <c r="AK78" s="219" t="str">
        <f t="shared" si="11"/>
        <v>-</v>
      </c>
      <c r="AL78" s="225" t="str">
        <f t="shared" si="12"/>
        <v>-</v>
      </c>
    </row>
    <row r="79" spans="1:38" ht="44.1" customHeight="1">
      <c r="A79" s="97" t="s">
        <v>632</v>
      </c>
      <c r="B79" s="37" t="str">
        <f t="shared" ca="1" si="7"/>
        <v>SI</v>
      </c>
      <c r="C79" s="166" t="s">
        <v>43</v>
      </c>
      <c r="D79" s="61" t="s">
        <v>44</v>
      </c>
      <c r="E79" s="88" t="s">
        <v>45</v>
      </c>
      <c r="F79" s="88" t="s">
        <v>46</v>
      </c>
      <c r="G79" s="168" t="s">
        <v>69</v>
      </c>
      <c r="H79" s="84" t="s">
        <v>633</v>
      </c>
      <c r="I79" s="83" t="s">
        <v>634</v>
      </c>
      <c r="J79" s="84" t="s">
        <v>635</v>
      </c>
      <c r="K79" s="83" t="s">
        <v>625</v>
      </c>
      <c r="L79" s="80" t="s">
        <v>626</v>
      </c>
      <c r="M79" s="80" t="s">
        <v>626</v>
      </c>
      <c r="N79" s="80" t="s">
        <v>196</v>
      </c>
      <c r="O79" s="81">
        <v>29964.92</v>
      </c>
      <c r="P79" s="122">
        <v>45882</v>
      </c>
      <c r="Q79" s="117" t="s">
        <v>54</v>
      </c>
      <c r="R79" s="132" t="s">
        <v>43</v>
      </c>
      <c r="S79" s="153"/>
      <c r="T79" s="68" t="str">
        <f ca="1">IFERROR(IF(OR(Q79="Ejecutado",Q79="No corresponde atención OGTI",Q79="Desistido",Q79="-",Q79="Para reformulación"),"-",IF(OR(S79="-",S79=""),"Falta fecha_estado",NETWORKDAYS(S79,TODAY(),{"02/04/2026";"03/04/2026";"30/06/2026"}))),"-")</f>
        <v>-</v>
      </c>
      <c r="U79" s="78" t="s">
        <v>77</v>
      </c>
      <c r="V79" s="155" t="s">
        <v>636</v>
      </c>
      <c r="W79" s="62">
        <v>45933</v>
      </c>
      <c r="X79" s="152" t="s">
        <v>637</v>
      </c>
      <c r="Y79" s="171" t="s">
        <v>626</v>
      </c>
      <c r="Z79" s="196" t="str">
        <f t="shared" ca="1" si="8"/>
        <v>Vigente_por vencer</v>
      </c>
      <c r="AA79" s="173">
        <v>45937</v>
      </c>
      <c r="AB79" s="74">
        <v>46302</v>
      </c>
      <c r="AC79" s="157" t="str">
        <f>IFERROR(IF(OR(AA79="-",AA79="",AB79="-",AB79=""),"-",CONCATENATE('Seguimiento OIT'!AB79-'Seguimiento OIT'!AA79+1," dias")),"-")</f>
        <v>366 dias</v>
      </c>
      <c r="AD79" s="114" t="str">
        <f t="shared" ca="1" si="13"/>
        <v>-</v>
      </c>
      <c r="AE79" s="80" t="s">
        <v>629</v>
      </c>
      <c r="AF79" s="82" t="s">
        <v>638</v>
      </c>
      <c r="AG79" s="143" t="s">
        <v>639</v>
      </c>
      <c r="AH79" s="218" t="s">
        <v>44</v>
      </c>
      <c r="AI79" s="219" t="str">
        <f t="shared" si="9"/>
        <v>-</v>
      </c>
      <c r="AJ79" s="219" t="str">
        <f t="shared" si="10"/>
        <v>-</v>
      </c>
      <c r="AK79" s="219" t="str">
        <f t="shared" si="11"/>
        <v>-</v>
      </c>
      <c r="AL79" s="225" t="str">
        <f t="shared" si="12"/>
        <v>-</v>
      </c>
    </row>
    <row r="80" spans="1:38" ht="75">
      <c r="A80" s="97" t="s">
        <v>640</v>
      </c>
      <c r="B80" s="37" t="str">
        <f t="shared" ca="1" si="7"/>
        <v>SI</v>
      </c>
      <c r="C80" s="166" t="s">
        <v>43</v>
      </c>
      <c r="D80" s="61" t="s">
        <v>44</v>
      </c>
      <c r="E80" s="88" t="s">
        <v>45</v>
      </c>
      <c r="F80" s="88" t="s">
        <v>61</v>
      </c>
      <c r="G80" s="168" t="s">
        <v>69</v>
      </c>
      <c r="H80" s="84" t="s">
        <v>641</v>
      </c>
      <c r="I80" s="83" t="s">
        <v>642</v>
      </c>
      <c r="J80" s="84" t="s">
        <v>643</v>
      </c>
      <c r="K80" s="83" t="s">
        <v>625</v>
      </c>
      <c r="L80" s="80" t="s">
        <v>626</v>
      </c>
      <c r="M80" s="80" t="s">
        <v>626</v>
      </c>
      <c r="N80" s="80" t="s">
        <v>196</v>
      </c>
      <c r="O80" s="81">
        <v>35000</v>
      </c>
      <c r="P80" s="122">
        <v>45974</v>
      </c>
      <c r="Q80" s="117" t="s">
        <v>54</v>
      </c>
      <c r="R80" s="132" t="s">
        <v>43</v>
      </c>
      <c r="S80" s="153"/>
      <c r="T80" s="68" t="str">
        <f ca="1">IFERROR(IF(OR(Q80="Ejecutado",Q80="No corresponde atención OGTI",Q80="Desistido",Q80="-",Q80="Para reformulación"),"-",IF(OR(S80="-",S80=""),"Falta fecha_estado",NETWORKDAYS(S80,TODAY(),{"02/04/2026";"03/04/2026";"30/06/2026"}))),"-")</f>
        <v>-</v>
      </c>
      <c r="U80" s="78" t="s">
        <v>224</v>
      </c>
      <c r="V80" s="155" t="s">
        <v>644</v>
      </c>
      <c r="W80" s="62">
        <v>46003</v>
      </c>
      <c r="X80" s="152" t="s">
        <v>645</v>
      </c>
      <c r="Y80" s="171" t="s">
        <v>626</v>
      </c>
      <c r="Z80" s="196" t="str">
        <f t="shared" ca="1" si="8"/>
        <v>Vigente</v>
      </c>
      <c r="AA80" s="173">
        <v>46013</v>
      </c>
      <c r="AB80" s="74">
        <v>46384</v>
      </c>
      <c r="AC80" s="157" t="str">
        <f>IFERROR(IF(OR(AA80="-",AA80="",AB80="-",AB80=""),"-",CONCATENATE('Seguimiento OIT'!AB80-'Seguimiento OIT'!AA80+1," dias")),"-")</f>
        <v>372 dias</v>
      </c>
      <c r="AD80" s="114" t="str">
        <f t="shared" ca="1" si="13"/>
        <v>-</v>
      </c>
      <c r="AE80" s="80" t="s">
        <v>629</v>
      </c>
      <c r="AF80" s="132" t="s">
        <v>646</v>
      </c>
      <c r="AG80" s="144" t="s">
        <v>647</v>
      </c>
      <c r="AH80" s="218" t="s">
        <v>44</v>
      </c>
      <c r="AI80" s="219" t="str">
        <f t="shared" si="9"/>
        <v>-</v>
      </c>
      <c r="AJ80" s="219" t="str">
        <f t="shared" si="10"/>
        <v>-</v>
      </c>
      <c r="AK80" s="219" t="str">
        <f t="shared" si="11"/>
        <v>-</v>
      </c>
      <c r="AL80" s="225" t="str">
        <f t="shared" si="12"/>
        <v>-</v>
      </c>
    </row>
    <row r="81" spans="1:38" ht="48.75" customHeight="1">
      <c r="A81" s="97" t="s">
        <v>648</v>
      </c>
      <c r="B81" s="37" t="str">
        <f t="shared" ca="1" si="7"/>
        <v>SI</v>
      </c>
      <c r="C81" s="166" t="s">
        <v>43</v>
      </c>
      <c r="D81" s="61" t="s">
        <v>44</v>
      </c>
      <c r="E81" s="88" t="s">
        <v>45</v>
      </c>
      <c r="F81" s="88" t="s">
        <v>61</v>
      </c>
      <c r="G81" s="168" t="s">
        <v>69</v>
      </c>
      <c r="H81" s="84" t="s">
        <v>649</v>
      </c>
      <c r="I81" s="80" t="s">
        <v>650</v>
      </c>
      <c r="J81" s="84" t="s">
        <v>651</v>
      </c>
      <c r="K81" s="83" t="s">
        <v>625</v>
      </c>
      <c r="L81" s="80" t="s">
        <v>626</v>
      </c>
      <c r="M81" s="80" t="s">
        <v>626</v>
      </c>
      <c r="N81" s="80" t="s">
        <v>196</v>
      </c>
      <c r="O81" s="81">
        <v>36598.15</v>
      </c>
      <c r="P81" s="122">
        <v>45974</v>
      </c>
      <c r="Q81" s="117" t="s">
        <v>54</v>
      </c>
      <c r="R81" s="132" t="s">
        <v>43</v>
      </c>
      <c r="S81" s="153"/>
      <c r="T81" s="68" t="str">
        <f ca="1">IFERROR(IF(OR(Q81="Ejecutado",Q81="No corresponde atención OGTI",Q81="Desistido",Q81="-",Q81="Para reformulación"),"-",IF(OR(S81="-",S81=""),"Falta fecha_estado",NETWORKDAYS(S81,TODAY(),{"02/04/2026";"03/04/2026";"30/06/2026"}))),"-")</f>
        <v>-</v>
      </c>
      <c r="U81" s="78" t="s">
        <v>224</v>
      </c>
      <c r="V81" s="155" t="s">
        <v>652</v>
      </c>
      <c r="W81" s="62">
        <v>46021</v>
      </c>
      <c r="X81" s="152" t="s">
        <v>653</v>
      </c>
      <c r="Y81" s="171" t="s">
        <v>626</v>
      </c>
      <c r="Z81" s="196" t="str">
        <f t="shared" ca="1" si="8"/>
        <v>Vigente</v>
      </c>
      <c r="AA81" s="173">
        <v>46041</v>
      </c>
      <c r="AB81" s="74">
        <v>46406</v>
      </c>
      <c r="AC81" s="157" t="str">
        <f>IFERROR(IF(OR(AA81="-",AA81="",AB81="-",AB81=""),"-",CONCATENATE('Seguimiento OIT'!AB81-'Seguimiento OIT'!AA81+1," dias")),"-")</f>
        <v>366 dias</v>
      </c>
      <c r="AD81" s="114" t="str">
        <f t="shared" ca="1" si="13"/>
        <v>-</v>
      </c>
      <c r="AE81" s="80" t="s">
        <v>629</v>
      </c>
      <c r="AF81" s="82" t="s">
        <v>654</v>
      </c>
      <c r="AG81" s="145" t="s">
        <v>655</v>
      </c>
      <c r="AH81" s="218" t="s">
        <v>44</v>
      </c>
      <c r="AI81" s="219" t="str">
        <f t="shared" si="9"/>
        <v>-</v>
      </c>
      <c r="AJ81" s="219" t="str">
        <f t="shared" si="10"/>
        <v>-</v>
      </c>
      <c r="AK81" s="219" t="str">
        <f t="shared" si="11"/>
        <v>-</v>
      </c>
      <c r="AL81" s="225" t="str">
        <f t="shared" si="12"/>
        <v>-</v>
      </c>
    </row>
    <row r="82" spans="1:38" ht="44.1" customHeight="1">
      <c r="A82" s="97" t="s">
        <v>656</v>
      </c>
      <c r="B82" s="37" t="str">
        <f t="shared" ca="1" si="7"/>
        <v>NO</v>
      </c>
      <c r="C82" s="166" t="s">
        <v>43</v>
      </c>
      <c r="D82" s="61" t="s">
        <v>44</v>
      </c>
      <c r="E82" s="88" t="s">
        <v>45</v>
      </c>
      <c r="F82" s="88" t="s">
        <v>61</v>
      </c>
      <c r="G82" s="168" t="s">
        <v>69</v>
      </c>
      <c r="H82" s="84" t="s">
        <v>657</v>
      </c>
      <c r="I82" s="83" t="s">
        <v>658</v>
      </c>
      <c r="J82" s="84" t="s">
        <v>659</v>
      </c>
      <c r="K82" s="83" t="s">
        <v>370</v>
      </c>
      <c r="L82" s="80" t="s">
        <v>371</v>
      </c>
      <c r="M82" s="80" t="s">
        <v>573</v>
      </c>
      <c r="N82" s="80" t="s">
        <v>196</v>
      </c>
      <c r="O82" s="81">
        <v>42589</v>
      </c>
      <c r="P82" s="122">
        <v>46058</v>
      </c>
      <c r="Q82" s="117" t="s">
        <v>54</v>
      </c>
      <c r="R82" s="132" t="s">
        <v>43</v>
      </c>
      <c r="S82" s="153" t="s">
        <v>43</v>
      </c>
      <c r="T82" s="68" t="str">
        <f ca="1">IFERROR(IF(OR(Q82="Ejecutado",Q82="No corresponde atención OGTI",Q82="Desistido",Q82="-",Q82="Para reformulación"),"-",IF(OR(S82="-",S82=""),"Falta fecha_estado",NETWORKDAYS(S82,TODAY(),{"02/04/2026";"03/04/2026";"30/06/2026"}))),"-")</f>
        <v>-</v>
      </c>
      <c r="U82" s="78" t="s">
        <v>77</v>
      </c>
      <c r="V82" s="155" t="s">
        <v>660</v>
      </c>
      <c r="W82" s="62">
        <v>46097</v>
      </c>
      <c r="X82" s="152" t="s">
        <v>661</v>
      </c>
      <c r="Y82" s="171" t="s">
        <v>573</v>
      </c>
      <c r="Z82" s="196" t="str">
        <f t="shared" ca="1" si="8"/>
        <v>Culminado</v>
      </c>
      <c r="AA82" s="173" t="s">
        <v>375</v>
      </c>
      <c r="AB82" s="74" t="s">
        <v>376</v>
      </c>
      <c r="AC82" s="157" t="str">
        <f>IFERROR(IF(OR(AA82="-",AA82="",AB82="-",AB82=""),"-",CONCATENATE('Seguimiento OIT'!AB82-'Seguimiento OIT'!AA82+1," dias")),"-")</f>
        <v>-</v>
      </c>
      <c r="AD82" s="114" t="str">
        <f t="shared" ca="1" si="13"/>
        <v>-</v>
      </c>
      <c r="AE82" s="80" t="s">
        <v>43</v>
      </c>
      <c r="AF82" s="82" t="s">
        <v>662</v>
      </c>
      <c r="AG82" s="140" t="s">
        <v>663</v>
      </c>
      <c r="AH82" s="218" t="s">
        <v>44</v>
      </c>
      <c r="AI82" s="219" t="str">
        <f t="shared" si="9"/>
        <v>-</v>
      </c>
      <c r="AJ82" s="219" t="str">
        <f t="shared" si="10"/>
        <v>-</v>
      </c>
      <c r="AK82" s="219" t="str">
        <f t="shared" si="11"/>
        <v>-</v>
      </c>
      <c r="AL82" s="225" t="str">
        <f t="shared" si="12"/>
        <v>-</v>
      </c>
    </row>
    <row r="83" spans="1:38" ht="44.1" customHeight="1">
      <c r="A83" s="97" t="s">
        <v>664</v>
      </c>
      <c r="B83" s="37" t="str">
        <f t="shared" ca="1" si="7"/>
        <v>NO</v>
      </c>
      <c r="C83" s="166" t="s">
        <v>43</v>
      </c>
      <c r="D83" s="61" t="s">
        <v>44</v>
      </c>
      <c r="E83" s="88" t="s">
        <v>45</v>
      </c>
      <c r="F83" s="88" t="s">
        <v>61</v>
      </c>
      <c r="G83" s="168" t="s">
        <v>69</v>
      </c>
      <c r="H83" s="84" t="s">
        <v>665</v>
      </c>
      <c r="I83" s="83" t="s">
        <v>666</v>
      </c>
      <c r="J83" s="84" t="s">
        <v>667</v>
      </c>
      <c r="K83" s="83" t="s">
        <v>370</v>
      </c>
      <c r="L83" s="80" t="s">
        <v>371</v>
      </c>
      <c r="M83" s="80" t="s">
        <v>573</v>
      </c>
      <c r="N83" s="80" t="s">
        <v>196</v>
      </c>
      <c r="O83" s="81">
        <v>42000</v>
      </c>
      <c r="P83" s="122">
        <v>46038</v>
      </c>
      <c r="Q83" s="117" t="s">
        <v>54</v>
      </c>
      <c r="R83" s="132" t="s">
        <v>43</v>
      </c>
      <c r="S83" s="153" t="s">
        <v>43</v>
      </c>
      <c r="T83" s="68" t="str">
        <f ca="1">IFERROR(IF(OR(Q83="Ejecutado",Q83="No corresponde atención OGTI",Q83="Desistido",Q83="-",Q83="Para reformulación"),"-",IF(OR(S83="-",S83=""),"Falta fecha_estado",NETWORKDAYS(S83,TODAY(),{"02/04/2026";"03/04/2026";"30/06/2026"}))),"-")</f>
        <v>-</v>
      </c>
      <c r="U83" s="78" t="s">
        <v>224</v>
      </c>
      <c r="V83" s="155" t="s">
        <v>668</v>
      </c>
      <c r="W83" s="62">
        <v>46059</v>
      </c>
      <c r="X83" s="152" t="s">
        <v>669</v>
      </c>
      <c r="Y83" s="171" t="s">
        <v>573</v>
      </c>
      <c r="Z83" s="196" t="str">
        <f t="shared" ca="1" si="8"/>
        <v>Culminado</v>
      </c>
      <c r="AA83" s="173" t="s">
        <v>375</v>
      </c>
      <c r="AB83" s="74" t="s">
        <v>375</v>
      </c>
      <c r="AC83" s="157" t="str">
        <f>IFERROR(IF(OR(AA83="-",AA83="",AB83="-",AB83=""),"-",CONCATENATE('Seguimiento OIT'!AB83-'Seguimiento OIT'!AA83+1," dias")),"-")</f>
        <v>-</v>
      </c>
      <c r="AD83" s="114" t="str">
        <f t="shared" ca="1" si="13"/>
        <v>-</v>
      </c>
      <c r="AE83" s="80" t="s">
        <v>43</v>
      </c>
      <c r="AF83" s="82" t="s">
        <v>670</v>
      </c>
      <c r="AG83" s="140" t="s">
        <v>671</v>
      </c>
      <c r="AH83" s="218" t="s">
        <v>44</v>
      </c>
      <c r="AI83" s="219" t="str">
        <f t="shared" si="9"/>
        <v>-</v>
      </c>
      <c r="AJ83" s="219" t="str">
        <f t="shared" si="10"/>
        <v>-</v>
      </c>
      <c r="AK83" s="219" t="str">
        <f t="shared" si="11"/>
        <v>-</v>
      </c>
      <c r="AL83" s="225" t="str">
        <f t="shared" si="12"/>
        <v>-</v>
      </c>
    </row>
    <row r="84" spans="1:38" ht="44.1" customHeight="1">
      <c r="A84" s="97" t="s">
        <v>672</v>
      </c>
      <c r="B84" s="37" t="str">
        <f t="shared" ca="1" si="7"/>
        <v>SI</v>
      </c>
      <c r="C84" s="166" t="s">
        <v>43</v>
      </c>
      <c r="D84" s="61" t="s">
        <v>44</v>
      </c>
      <c r="E84" s="88" t="s">
        <v>349</v>
      </c>
      <c r="F84" s="88" t="s">
        <v>61</v>
      </c>
      <c r="G84" s="168" t="s">
        <v>69</v>
      </c>
      <c r="H84" s="84" t="s">
        <v>673</v>
      </c>
      <c r="I84" s="83" t="s">
        <v>674</v>
      </c>
      <c r="J84" s="84" t="s">
        <v>675</v>
      </c>
      <c r="K84" s="83" t="s">
        <v>370</v>
      </c>
      <c r="L84" s="80" t="s">
        <v>371</v>
      </c>
      <c r="M84" s="80" t="s">
        <v>372</v>
      </c>
      <c r="N84" s="80" t="s">
        <v>196</v>
      </c>
      <c r="O84" s="81">
        <v>1052158</v>
      </c>
      <c r="P84" s="122">
        <v>45860</v>
      </c>
      <c r="Q84" s="117" t="s">
        <v>54</v>
      </c>
      <c r="R84" s="132" t="s">
        <v>43</v>
      </c>
      <c r="S84" s="153" t="s">
        <v>43</v>
      </c>
      <c r="T84" s="68" t="str">
        <f ca="1">IFERROR(IF(OR(Q84="Ejecutado",Q84="No corresponde atención OGTI",Q84="Desistido",Q84="-",Q84="Para reformulación"),"-",IF(OR(S84="-",S84=""),"Falta fecha_estado",NETWORKDAYS(S84,TODAY(),{"02/04/2026";"03/04/2026";"30/06/2026"}))),"-")</f>
        <v>-</v>
      </c>
      <c r="U84" s="78" t="s">
        <v>224</v>
      </c>
      <c r="V84" s="155" t="s">
        <v>676</v>
      </c>
      <c r="W84" s="62">
        <v>46120</v>
      </c>
      <c r="X84" s="152" t="s">
        <v>677</v>
      </c>
      <c r="Y84" s="171" t="s">
        <v>372</v>
      </c>
      <c r="Z84" s="196" t="str">
        <f t="shared" ca="1" si="8"/>
        <v>Vigente</v>
      </c>
      <c r="AA84" s="173">
        <v>46132</v>
      </c>
      <c r="AB84" s="74">
        <v>46861</v>
      </c>
      <c r="AC84" s="157" t="str">
        <f>IFERROR(IF(OR(AA84="-",AA84="",AB84="-",AB84=""),"-",CONCATENATE('Seguimiento OIT'!AB84-'Seguimiento OIT'!AA84+1," dias")),"-")</f>
        <v>730 dias</v>
      </c>
      <c r="AD84" s="114" t="str">
        <f t="shared" ca="1" si="13"/>
        <v>-</v>
      </c>
      <c r="AE84" s="80" t="s">
        <v>43</v>
      </c>
      <c r="AF84" s="82" t="s">
        <v>678</v>
      </c>
      <c r="AG84" s="140" t="s">
        <v>679</v>
      </c>
      <c r="AH84" s="218" t="s">
        <v>44</v>
      </c>
      <c r="AI84" s="219" t="str">
        <f t="shared" si="9"/>
        <v>-</v>
      </c>
      <c r="AJ84" s="219" t="str">
        <f t="shared" si="10"/>
        <v>-</v>
      </c>
      <c r="AK84" s="219" t="str">
        <f t="shared" si="11"/>
        <v>-</v>
      </c>
      <c r="AL84" s="225" t="str">
        <f t="shared" si="12"/>
        <v>-</v>
      </c>
    </row>
    <row r="85" spans="1:38" ht="44.1" customHeight="1">
      <c r="A85" s="97" t="s">
        <v>680</v>
      </c>
      <c r="B85" s="37" t="str">
        <f t="shared" ca="1" si="7"/>
        <v>SI</v>
      </c>
      <c r="C85" s="165" t="s">
        <v>43</v>
      </c>
      <c r="D85" s="61" t="s">
        <v>44</v>
      </c>
      <c r="E85" s="61" t="s">
        <v>349</v>
      </c>
      <c r="F85" s="61" t="s">
        <v>61</v>
      </c>
      <c r="G85" s="167" t="s">
        <v>69</v>
      </c>
      <c r="H85" s="60" t="s">
        <v>681</v>
      </c>
      <c r="I85" s="62" t="s">
        <v>682</v>
      </c>
      <c r="J85" s="60" t="s">
        <v>683</v>
      </c>
      <c r="K85" s="83" t="s">
        <v>370</v>
      </c>
      <c r="L85" s="80" t="s">
        <v>371</v>
      </c>
      <c r="M85" s="63" t="s">
        <v>684</v>
      </c>
      <c r="N85" s="63" t="s">
        <v>196</v>
      </c>
      <c r="O85" s="64">
        <v>2982363.54</v>
      </c>
      <c r="P85" s="120">
        <v>45680</v>
      </c>
      <c r="Q85" s="116" t="s">
        <v>54</v>
      </c>
      <c r="R85" s="159" t="s">
        <v>43</v>
      </c>
      <c r="S85" s="152" t="s">
        <v>43</v>
      </c>
      <c r="T85" s="68" t="str">
        <f ca="1">IFERROR(IF(OR(Q85="Ejecutado",Q85="No corresponde atención OGTI",Q85="Desistido",Q85="-",Q85="Para reformulación"),"-",IF(OR(S85="-",S85=""),"Falta fecha_estado",NETWORKDAYS(S85,TODAY(),{"02/04/2026";"03/04/2026";"30/06/2026"}))),"-")</f>
        <v>-</v>
      </c>
      <c r="U85" s="69" t="s">
        <v>224</v>
      </c>
      <c r="V85" s="155" t="s">
        <v>685</v>
      </c>
      <c r="W85" s="62">
        <v>45971</v>
      </c>
      <c r="X85" s="152" t="s">
        <v>686</v>
      </c>
      <c r="Y85" s="169" t="s">
        <v>684</v>
      </c>
      <c r="Z85" s="196" t="str">
        <f t="shared" ca="1" si="8"/>
        <v>Vigente</v>
      </c>
      <c r="AA85" s="173">
        <v>46062</v>
      </c>
      <c r="AB85" s="74">
        <v>47156</v>
      </c>
      <c r="AC85" s="157" t="str">
        <f>IFERROR(IF(OR(AA85="-",AA85="",AB85="-",AB85=""),"-",CONCATENATE('Seguimiento OIT'!AB85-'Seguimiento OIT'!AA85+1," dias")),"-")</f>
        <v>1095 dias</v>
      </c>
      <c r="AD85" s="114" t="str">
        <f t="shared" ca="1" si="13"/>
        <v>-</v>
      </c>
      <c r="AE85" s="63" t="s">
        <v>43</v>
      </c>
      <c r="AF85" s="82" t="s">
        <v>687</v>
      </c>
      <c r="AG85" s="140" t="s">
        <v>688</v>
      </c>
      <c r="AH85" s="218" t="s">
        <v>44</v>
      </c>
      <c r="AI85" s="219" t="str">
        <f t="shared" si="9"/>
        <v>-</v>
      </c>
      <c r="AJ85" s="219" t="str">
        <f t="shared" si="10"/>
        <v>-</v>
      </c>
      <c r="AK85" s="219" t="str">
        <f t="shared" si="11"/>
        <v>-</v>
      </c>
      <c r="AL85" s="225" t="str">
        <f t="shared" si="12"/>
        <v>-</v>
      </c>
    </row>
    <row r="86" spans="1:38" ht="44.1" customHeight="1">
      <c r="A86" s="97" t="s">
        <v>689</v>
      </c>
      <c r="B86" s="37" t="str">
        <f t="shared" ca="1" si="7"/>
        <v>SI</v>
      </c>
      <c r="C86" s="165" t="s">
        <v>43</v>
      </c>
      <c r="D86" s="61" t="s">
        <v>44</v>
      </c>
      <c r="E86" s="61" t="s">
        <v>349</v>
      </c>
      <c r="F86" s="61" t="s">
        <v>61</v>
      </c>
      <c r="G86" s="167" t="s">
        <v>69</v>
      </c>
      <c r="H86" s="60" t="s">
        <v>690</v>
      </c>
      <c r="I86" s="62" t="s">
        <v>691</v>
      </c>
      <c r="J86" s="60" t="s">
        <v>692</v>
      </c>
      <c r="K86" s="83" t="s">
        <v>370</v>
      </c>
      <c r="L86" s="80" t="s">
        <v>371</v>
      </c>
      <c r="M86" s="80" t="s">
        <v>371</v>
      </c>
      <c r="N86" s="63" t="s">
        <v>196</v>
      </c>
      <c r="O86" s="64">
        <v>5358558.05</v>
      </c>
      <c r="P86" s="120">
        <v>45419</v>
      </c>
      <c r="Q86" s="116" t="s">
        <v>54</v>
      </c>
      <c r="R86" s="159" t="s">
        <v>43</v>
      </c>
      <c r="S86" s="152" t="s">
        <v>43</v>
      </c>
      <c r="T86" s="68" t="str">
        <f ca="1">IFERROR(IF(OR(Q86="Ejecutado",Q86="No corresponde atención OGTI",Q86="Desistido",Q86="-",Q86="Para reformulación"),"-",IF(OR(S86="-",S86=""),"Falta fecha_estado",NETWORKDAYS(S86,TODAY(),{"02/04/2026";"03/04/2026";"30/06/2026"}))),"-")</f>
        <v>-</v>
      </c>
      <c r="U86" s="69" t="s">
        <v>224</v>
      </c>
      <c r="V86" s="155" t="s">
        <v>693</v>
      </c>
      <c r="W86" s="62">
        <v>45818</v>
      </c>
      <c r="X86" s="152" t="s">
        <v>694</v>
      </c>
      <c r="Y86" s="169" t="s">
        <v>601</v>
      </c>
      <c r="Z86" s="196" t="str">
        <f t="shared" ca="1" si="8"/>
        <v>Vigente</v>
      </c>
      <c r="AA86" s="173">
        <v>45818</v>
      </c>
      <c r="AB86" s="74">
        <v>46544</v>
      </c>
      <c r="AC86" s="157" t="str">
        <f>IFERROR(IF(OR(AA86="-",AA86="",AB86="-",AB86=""),"-",CONCATENATE('Seguimiento OIT'!AB86-'Seguimiento OIT'!AA86+1," dias")),"-")</f>
        <v>727 dias</v>
      </c>
      <c r="AD86" s="114" t="str">
        <f t="shared" ca="1" si="13"/>
        <v>-</v>
      </c>
      <c r="AE86" s="63" t="s">
        <v>43</v>
      </c>
      <c r="AF86" s="82" t="s">
        <v>695</v>
      </c>
      <c r="AG86" s="140" t="s">
        <v>696</v>
      </c>
      <c r="AH86" s="218" t="s">
        <v>44</v>
      </c>
      <c r="AI86" s="219" t="str">
        <f t="shared" si="9"/>
        <v>-</v>
      </c>
      <c r="AJ86" s="219" t="str">
        <f t="shared" si="10"/>
        <v>-</v>
      </c>
      <c r="AK86" s="219" t="str">
        <f t="shared" si="11"/>
        <v>-</v>
      </c>
      <c r="AL86" s="225" t="str">
        <f t="shared" si="12"/>
        <v>-</v>
      </c>
    </row>
    <row r="87" spans="1:38" ht="44.1" customHeight="1">
      <c r="A87" s="97" t="s">
        <v>697</v>
      </c>
      <c r="B87" s="37" t="str">
        <f t="shared" ca="1" si="7"/>
        <v>SI</v>
      </c>
      <c r="C87" s="165" t="s">
        <v>43</v>
      </c>
      <c r="D87" s="61" t="s">
        <v>44</v>
      </c>
      <c r="E87" s="61" t="s">
        <v>349</v>
      </c>
      <c r="F87" s="61" t="s">
        <v>61</v>
      </c>
      <c r="G87" s="167" t="s">
        <v>69</v>
      </c>
      <c r="H87" s="60" t="s">
        <v>698</v>
      </c>
      <c r="I87" s="62" t="s">
        <v>699</v>
      </c>
      <c r="J87" s="60" t="s">
        <v>700</v>
      </c>
      <c r="K87" s="83" t="s">
        <v>370</v>
      </c>
      <c r="L87" s="80" t="s">
        <v>371</v>
      </c>
      <c r="M87" s="63" t="s">
        <v>601</v>
      </c>
      <c r="N87" s="63" t="s">
        <v>196</v>
      </c>
      <c r="O87" s="64">
        <v>498432</v>
      </c>
      <c r="P87" s="120">
        <v>45476</v>
      </c>
      <c r="Q87" s="116" t="s">
        <v>54</v>
      </c>
      <c r="R87" s="159" t="s">
        <v>43</v>
      </c>
      <c r="S87" s="152" t="s">
        <v>43</v>
      </c>
      <c r="T87" s="68" t="str">
        <f ca="1">IFERROR(IF(OR(Q87="Ejecutado",Q87="No corresponde atención OGTI",Q87="Desistido",Q87="-",Q87="Para reformulación"),"-",IF(OR(S87="-",S87=""),"Falta fecha_estado",NETWORKDAYS(S87,TODAY(),{"02/04/2026";"03/04/2026";"30/06/2026"}))),"-")</f>
        <v>-</v>
      </c>
      <c r="U87" s="69" t="s">
        <v>224</v>
      </c>
      <c r="V87" s="155" t="s">
        <v>701</v>
      </c>
      <c r="W87" s="120">
        <v>45694</v>
      </c>
      <c r="X87" s="152" t="s">
        <v>702</v>
      </c>
      <c r="Y87" s="169" t="s">
        <v>601</v>
      </c>
      <c r="Z87" s="196" t="str">
        <f t="shared" ca="1" si="8"/>
        <v>Vigente</v>
      </c>
      <c r="AA87" s="173">
        <v>45783</v>
      </c>
      <c r="AB87" s="74">
        <v>46512</v>
      </c>
      <c r="AC87" s="157" t="str">
        <f>IFERROR(IF(OR(AA87="-",AA87="",AB87="-",AB87=""),"-",CONCATENATE('Seguimiento OIT'!AB87-'Seguimiento OIT'!AA87+1," dias")),"-")</f>
        <v>730 dias</v>
      </c>
      <c r="AD87" s="114" t="str">
        <f t="shared" ca="1" si="13"/>
        <v>-</v>
      </c>
      <c r="AE87" s="63" t="s">
        <v>43</v>
      </c>
      <c r="AF87" s="82" t="s">
        <v>703</v>
      </c>
      <c r="AG87" s="140" t="s">
        <v>704</v>
      </c>
      <c r="AH87" s="218" t="s">
        <v>44</v>
      </c>
      <c r="AI87" s="219" t="str">
        <f t="shared" si="9"/>
        <v>-</v>
      </c>
      <c r="AJ87" s="219" t="str">
        <f t="shared" si="10"/>
        <v>-</v>
      </c>
      <c r="AK87" s="219" t="str">
        <f t="shared" si="11"/>
        <v>-</v>
      </c>
      <c r="AL87" s="225" t="str">
        <f t="shared" si="12"/>
        <v>-</v>
      </c>
    </row>
    <row r="88" spans="1:38" ht="44.1" customHeight="1">
      <c r="A88" s="98" t="s">
        <v>705</v>
      </c>
      <c r="B88" s="37" t="str">
        <f t="shared" ca="1" si="7"/>
        <v>SI</v>
      </c>
      <c r="C88" s="165" t="s">
        <v>43</v>
      </c>
      <c r="D88" s="61" t="s">
        <v>44</v>
      </c>
      <c r="E88" s="61" t="s">
        <v>45</v>
      </c>
      <c r="F88" s="61" t="s">
        <v>61</v>
      </c>
      <c r="G88" s="167" t="s">
        <v>69</v>
      </c>
      <c r="H88" s="60" t="s">
        <v>706</v>
      </c>
      <c r="I88" s="62" t="s">
        <v>707</v>
      </c>
      <c r="J88" s="60" t="s">
        <v>708</v>
      </c>
      <c r="K88" s="62" t="s">
        <v>625</v>
      </c>
      <c r="L88" s="63" t="s">
        <v>626</v>
      </c>
      <c r="M88" s="63" t="s">
        <v>626</v>
      </c>
      <c r="N88" s="63" t="s">
        <v>196</v>
      </c>
      <c r="O88" s="64">
        <v>13961.76</v>
      </c>
      <c r="P88" s="120">
        <v>45391</v>
      </c>
      <c r="Q88" s="116" t="s">
        <v>54</v>
      </c>
      <c r="R88" s="159" t="s">
        <v>43</v>
      </c>
      <c r="S88" s="152"/>
      <c r="T88" s="68" t="str">
        <f ca="1">IFERROR(IF(OR(Q88="Ejecutado",Q88="No corresponde atención OGTI",Q88="Desistido",Q88="-",Q88="Para reformulación"),"-",IF(OR(S88="-",S88=""),"Falta fecha_estado",NETWORKDAYS(S88,TODAY(),{"02/04/2026";"03/04/2026";"30/06/2026"}))),"-")</f>
        <v>-</v>
      </c>
      <c r="U88" s="69" t="s">
        <v>77</v>
      </c>
      <c r="V88" s="155" t="s">
        <v>709</v>
      </c>
      <c r="W88" s="62">
        <v>45435</v>
      </c>
      <c r="X88" s="152" t="s">
        <v>710</v>
      </c>
      <c r="Y88" s="169" t="s">
        <v>626</v>
      </c>
      <c r="Z88" s="196" t="str">
        <f t="shared" ca="1" si="8"/>
        <v>Vigente</v>
      </c>
      <c r="AA88" s="173">
        <v>45442</v>
      </c>
      <c r="AB88" s="74">
        <v>46536</v>
      </c>
      <c r="AC88" s="157" t="str">
        <f>IFERROR(IF(OR(AA88="-",AA88="",AB88="-",AB88=""),"-",CONCATENATE('Seguimiento OIT'!AB88-'Seguimiento OIT'!AA88+1," dias")),"-")</f>
        <v>1095 dias</v>
      </c>
      <c r="AD88" s="114" t="str">
        <f t="shared" ca="1" si="13"/>
        <v>-</v>
      </c>
      <c r="AE88" s="63" t="s">
        <v>43</v>
      </c>
      <c r="AF88" s="82" t="s">
        <v>711</v>
      </c>
      <c r="AG88" s="140" t="s">
        <v>712</v>
      </c>
      <c r="AH88" s="218" t="s">
        <v>44</v>
      </c>
      <c r="AI88" s="219" t="str">
        <f t="shared" si="9"/>
        <v>-</v>
      </c>
      <c r="AJ88" s="219" t="str">
        <f t="shared" si="10"/>
        <v>-</v>
      </c>
      <c r="AK88" s="219" t="str">
        <f t="shared" si="11"/>
        <v>-</v>
      </c>
      <c r="AL88" s="225" t="str">
        <f t="shared" si="12"/>
        <v>-</v>
      </c>
    </row>
    <row r="89" spans="1:38" ht="44.1" customHeight="1">
      <c r="A89" s="98" t="s">
        <v>713</v>
      </c>
      <c r="B89" s="37" t="str">
        <f t="shared" ca="1" si="7"/>
        <v>SI</v>
      </c>
      <c r="C89" s="165" t="s">
        <v>43</v>
      </c>
      <c r="D89" s="61" t="s">
        <v>44</v>
      </c>
      <c r="E89" s="61" t="s">
        <v>45</v>
      </c>
      <c r="F89" s="61" t="s">
        <v>61</v>
      </c>
      <c r="G89" s="167" t="s">
        <v>69</v>
      </c>
      <c r="H89" s="60" t="s">
        <v>714</v>
      </c>
      <c r="I89" s="62" t="s">
        <v>715</v>
      </c>
      <c r="J89" s="60" t="s">
        <v>716</v>
      </c>
      <c r="K89" s="62" t="s">
        <v>625</v>
      </c>
      <c r="L89" s="63" t="s">
        <v>626</v>
      </c>
      <c r="M89" s="63" t="s">
        <v>626</v>
      </c>
      <c r="N89" s="63" t="s">
        <v>196</v>
      </c>
      <c r="O89" s="64">
        <v>29500</v>
      </c>
      <c r="P89" s="120">
        <v>46038</v>
      </c>
      <c r="Q89" s="116" t="s">
        <v>54</v>
      </c>
      <c r="R89" s="159" t="s">
        <v>43</v>
      </c>
      <c r="S89" s="152"/>
      <c r="T89" s="68" t="str">
        <f ca="1">IFERROR(IF(OR(Q89="Ejecutado",Q89="No corresponde atención OGTI",Q89="Desistido",Q89="-",Q89="Para reformulación"),"-",IF(OR(S89="-",S89=""),"Falta fecha_estado",NETWORKDAYS(S89,TODAY(),{"02/04/2026";"03/04/2026";"30/06/2026"}))),"-")</f>
        <v>-</v>
      </c>
      <c r="U89" s="69" t="s">
        <v>77</v>
      </c>
      <c r="V89" s="155" t="s">
        <v>717</v>
      </c>
      <c r="W89" s="62">
        <v>46077</v>
      </c>
      <c r="X89" s="152" t="s">
        <v>718</v>
      </c>
      <c r="Y89" s="169" t="s">
        <v>626</v>
      </c>
      <c r="Z89" s="196" t="str">
        <f t="shared" ca="1" si="8"/>
        <v>Vigente</v>
      </c>
      <c r="AA89" s="173">
        <v>46101</v>
      </c>
      <c r="AB89" s="74">
        <v>46466</v>
      </c>
      <c r="AC89" s="157" t="str">
        <f>IFERROR(IF(OR(AA89="-",AA89="",AB89="-",AB89=""),"-",CONCATENATE('Seguimiento OIT'!AB89-'Seguimiento OIT'!AA89+1," dias")),"-")</f>
        <v>366 dias</v>
      </c>
      <c r="AD89" s="114" t="str">
        <f t="shared" ca="1" si="13"/>
        <v>-</v>
      </c>
      <c r="AE89" s="63" t="s">
        <v>43</v>
      </c>
      <c r="AF89" s="82" t="s">
        <v>719</v>
      </c>
      <c r="AG89" s="140" t="s">
        <v>720</v>
      </c>
      <c r="AH89" s="218" t="s">
        <v>44</v>
      </c>
      <c r="AI89" s="219" t="str">
        <f t="shared" si="9"/>
        <v>-</v>
      </c>
      <c r="AJ89" s="219" t="str">
        <f t="shared" si="10"/>
        <v>-</v>
      </c>
      <c r="AK89" s="219" t="str">
        <f t="shared" si="11"/>
        <v>-</v>
      </c>
      <c r="AL89" s="225" t="str">
        <f t="shared" si="12"/>
        <v>-</v>
      </c>
    </row>
    <row r="90" spans="1:38" ht="44.1" customHeight="1">
      <c r="A90" s="98" t="s">
        <v>721</v>
      </c>
      <c r="B90" s="37" t="str">
        <f t="shared" ca="1" si="7"/>
        <v>SI</v>
      </c>
      <c r="C90" s="165" t="s">
        <v>43</v>
      </c>
      <c r="D90" s="61" t="s">
        <v>44</v>
      </c>
      <c r="E90" s="61" t="s">
        <v>349</v>
      </c>
      <c r="F90" s="61" t="s">
        <v>61</v>
      </c>
      <c r="G90" s="167" t="s">
        <v>69</v>
      </c>
      <c r="H90" s="60" t="s">
        <v>722</v>
      </c>
      <c r="I90" s="131" t="s">
        <v>723</v>
      </c>
      <c r="J90" s="60" t="s">
        <v>724</v>
      </c>
      <c r="K90" s="62" t="s">
        <v>625</v>
      </c>
      <c r="L90" s="63" t="s">
        <v>626</v>
      </c>
      <c r="M90" s="63" t="s">
        <v>626</v>
      </c>
      <c r="N90" s="63" t="s">
        <v>196</v>
      </c>
      <c r="O90" s="64">
        <v>2885469.95</v>
      </c>
      <c r="P90" s="120">
        <v>45964</v>
      </c>
      <c r="Q90" s="116" t="s">
        <v>54</v>
      </c>
      <c r="R90" s="159" t="s">
        <v>43</v>
      </c>
      <c r="S90" s="152"/>
      <c r="T90" s="68" t="str">
        <f ca="1">IFERROR(IF(OR(Q90="Ejecutado",Q90="No corresponde atención OGTI",Q90="Desistido",Q90="-",Q90="Para reformulación"),"-",IF(OR(S90="-",S90=""),"Falta fecha_estado",NETWORKDAYS(S90,TODAY(),{"02/04/2026";"03/04/2026";"30/06/2026"}))),"-")</f>
        <v>-</v>
      </c>
      <c r="U90" s="69" t="s">
        <v>224</v>
      </c>
      <c r="V90" s="155" t="s">
        <v>725</v>
      </c>
      <c r="W90" s="62">
        <v>46111</v>
      </c>
      <c r="X90" s="152" t="s">
        <v>726</v>
      </c>
      <c r="Y90" s="169" t="s">
        <v>626</v>
      </c>
      <c r="Z90" s="196" t="str">
        <f t="shared" ca="1" si="8"/>
        <v>Vigente</v>
      </c>
      <c r="AA90" s="173">
        <v>46167</v>
      </c>
      <c r="AB90" s="74">
        <v>46532</v>
      </c>
      <c r="AC90" s="157" t="str">
        <f>IFERROR(IF(OR(AA90="-",AA90="",AB90="-",AB90=""),"-",CONCATENATE('Seguimiento OIT'!AB90-'Seguimiento OIT'!AA90+1," dias")),"-")</f>
        <v>366 dias</v>
      </c>
      <c r="AD90" s="114" t="str">
        <f t="shared" ca="1" si="13"/>
        <v>-</v>
      </c>
      <c r="AE90" s="63" t="s">
        <v>43</v>
      </c>
      <c r="AF90" s="82" t="s">
        <v>727</v>
      </c>
      <c r="AG90" s="140" t="s">
        <v>728</v>
      </c>
      <c r="AH90" s="218" t="s">
        <v>44</v>
      </c>
      <c r="AI90" s="219" t="str">
        <f t="shared" si="9"/>
        <v>-</v>
      </c>
      <c r="AJ90" s="219" t="str">
        <f t="shared" si="10"/>
        <v>-</v>
      </c>
      <c r="AK90" s="219" t="str">
        <f t="shared" si="11"/>
        <v>-</v>
      </c>
      <c r="AL90" s="225" t="str">
        <f t="shared" si="12"/>
        <v>-</v>
      </c>
    </row>
    <row r="91" spans="1:38" ht="44.1" customHeight="1">
      <c r="A91" s="98" t="s">
        <v>729</v>
      </c>
      <c r="B91" s="37" t="str">
        <f t="shared" ca="1" si="7"/>
        <v>SI</v>
      </c>
      <c r="C91" s="165" t="s">
        <v>43</v>
      </c>
      <c r="D91" s="61" t="s">
        <v>44</v>
      </c>
      <c r="E91" s="61" t="s">
        <v>349</v>
      </c>
      <c r="F91" s="61" t="s">
        <v>61</v>
      </c>
      <c r="G91" s="167" t="s">
        <v>69</v>
      </c>
      <c r="H91" s="60" t="s">
        <v>730</v>
      </c>
      <c r="I91" s="130" t="s">
        <v>731</v>
      </c>
      <c r="J91" s="60" t="s">
        <v>732</v>
      </c>
      <c r="K91" s="62" t="s">
        <v>625</v>
      </c>
      <c r="L91" s="63" t="s">
        <v>626</v>
      </c>
      <c r="M91" s="63" t="s">
        <v>626</v>
      </c>
      <c r="N91" s="63" t="s">
        <v>196</v>
      </c>
      <c r="O91" s="64">
        <v>1060812.51</v>
      </c>
      <c r="P91" s="120">
        <v>45840</v>
      </c>
      <c r="Q91" s="116" t="s">
        <v>54</v>
      </c>
      <c r="R91" s="159" t="s">
        <v>43</v>
      </c>
      <c r="S91" s="152"/>
      <c r="T91" s="68" t="str">
        <f ca="1">IFERROR(IF(OR(Q91="Ejecutado",Q91="No corresponde atención OGTI",Q91="Desistido",Q91="-",Q91="Para reformulación"),"-",IF(OR(S91="-",S91=""),"Falta fecha_estado",NETWORKDAYS(S91,TODAY(),{"02/04/2026";"03/04/2026";"30/06/2026"}))),"-")</f>
        <v>-</v>
      </c>
      <c r="U91" s="69" t="s">
        <v>224</v>
      </c>
      <c r="V91" s="155" t="s">
        <v>733</v>
      </c>
      <c r="W91" s="62" t="s">
        <v>734</v>
      </c>
      <c r="X91" s="152" t="s">
        <v>735</v>
      </c>
      <c r="Y91" s="169" t="s">
        <v>626</v>
      </c>
      <c r="Z91" s="196" t="str">
        <f t="shared" ca="1" si="8"/>
        <v>Vigente</v>
      </c>
      <c r="AA91" s="173">
        <v>46184</v>
      </c>
      <c r="AB91" s="74">
        <v>46549</v>
      </c>
      <c r="AC91" s="157" t="str">
        <f>IFERROR(IF(OR(AA91="-",AA91="",AB91="-",AB91=""),"-",CONCATENATE('Seguimiento OIT'!AB91-'Seguimiento OIT'!AA91+1," dias")),"-")</f>
        <v>366 dias</v>
      </c>
      <c r="AD91" s="114" t="str">
        <f t="shared" ca="1" si="13"/>
        <v>-</v>
      </c>
      <c r="AE91" s="63" t="s">
        <v>43</v>
      </c>
      <c r="AF91" s="82" t="s">
        <v>736</v>
      </c>
      <c r="AG91" s="140" t="s">
        <v>737</v>
      </c>
      <c r="AH91" s="218" t="s">
        <v>44</v>
      </c>
      <c r="AI91" s="219" t="str">
        <f t="shared" si="9"/>
        <v>-</v>
      </c>
      <c r="AJ91" s="219" t="str">
        <f t="shared" si="10"/>
        <v>-</v>
      </c>
      <c r="AK91" s="219" t="str">
        <f t="shared" si="11"/>
        <v>-</v>
      </c>
      <c r="AL91" s="225" t="str">
        <f t="shared" si="12"/>
        <v>-</v>
      </c>
    </row>
    <row r="92" spans="1:38" ht="44.1" customHeight="1">
      <c r="A92" s="99" t="s">
        <v>738</v>
      </c>
      <c r="B92" s="37" t="str">
        <f t="shared" ca="1" si="7"/>
        <v>SI</v>
      </c>
      <c r="C92" s="166" t="s">
        <v>43</v>
      </c>
      <c r="D92" s="61">
        <v>2026</v>
      </c>
      <c r="E92" s="88" t="s">
        <v>43</v>
      </c>
      <c r="F92" s="88" t="s">
        <v>61</v>
      </c>
      <c r="G92" s="168" t="s">
        <v>69</v>
      </c>
      <c r="H92" s="84" t="s">
        <v>739</v>
      </c>
      <c r="I92" s="83" t="s">
        <v>740</v>
      </c>
      <c r="J92" s="84" t="s">
        <v>741</v>
      </c>
      <c r="K92" s="83" t="s">
        <v>625</v>
      </c>
      <c r="L92" s="80" t="s">
        <v>626</v>
      </c>
      <c r="M92" s="80" t="s">
        <v>626</v>
      </c>
      <c r="N92" s="80" t="s">
        <v>196</v>
      </c>
      <c r="O92" s="81" t="s">
        <v>280</v>
      </c>
      <c r="P92" s="122">
        <v>46129</v>
      </c>
      <c r="Q92" s="117" t="s">
        <v>281</v>
      </c>
      <c r="R92" s="132" t="s">
        <v>327</v>
      </c>
      <c r="S92" s="153">
        <v>46199</v>
      </c>
      <c r="T92" s="68">
        <f ca="1">IFERROR(IF(OR(Q92="Ejecutado",Q92="No corresponde atención OGTI",Q92="Desistido",Q92="-",Q92="Para reformulación"),"-",IF(OR(S92="-",S92=""),"Falta fecha_estado",NETWORKDAYS(S92,TODAY(),{"02/04/2026";"03/04/2026";"30/06/2026"}))),"-")</f>
        <v>25</v>
      </c>
      <c r="U92" s="78" t="s">
        <v>43</v>
      </c>
      <c r="V92" s="155" t="s">
        <v>43</v>
      </c>
      <c r="W92" s="62" t="s">
        <v>43</v>
      </c>
      <c r="X92" s="152" t="s">
        <v>43</v>
      </c>
      <c r="Y92" s="171" t="s">
        <v>43</v>
      </c>
      <c r="Z92" s="196" t="str">
        <f t="shared" ca="1" si="8"/>
        <v>En tramite</v>
      </c>
      <c r="AA92" s="173" t="s">
        <v>43</v>
      </c>
      <c r="AB92" s="74" t="s">
        <v>43</v>
      </c>
      <c r="AC92" s="157" t="str">
        <f>IFERROR(IF(OR(AA92="-",AA92="",AB92="-",AB92=""),"-",CONCATENATE('Seguimiento OIT'!AB92-'Seguimiento OIT'!AA92+1," dias")),"-")</f>
        <v>-</v>
      </c>
      <c r="AD92" s="114" t="str">
        <f t="shared" ref="AD92:AD111" ca="1" si="14">IFERROR(IF(Z92="Vencido",(TODAY()-AB92)+1,"-"),"-")</f>
        <v>-</v>
      </c>
      <c r="AE92" s="80" t="s">
        <v>43</v>
      </c>
      <c r="AF92" s="82" t="s">
        <v>742</v>
      </c>
      <c r="AG92" s="140" t="s">
        <v>743</v>
      </c>
      <c r="AH92" s="218" t="s">
        <v>44</v>
      </c>
      <c r="AI92" s="219" t="str">
        <f t="shared" si="9"/>
        <v>-</v>
      </c>
      <c r="AJ92" s="219" t="str">
        <f t="shared" si="10"/>
        <v>-</v>
      </c>
      <c r="AK92" s="219" t="str">
        <f t="shared" si="11"/>
        <v>-</v>
      </c>
      <c r="AL92" s="225" t="str">
        <f t="shared" si="12"/>
        <v>-</v>
      </c>
    </row>
    <row r="93" spans="1:38" ht="44.1" customHeight="1">
      <c r="A93" s="99" t="s">
        <v>744</v>
      </c>
      <c r="B93" s="37" t="str">
        <f t="shared" ca="1" si="7"/>
        <v>SI</v>
      </c>
      <c r="C93" s="166" t="s">
        <v>43</v>
      </c>
      <c r="D93" s="61" t="s">
        <v>44</v>
      </c>
      <c r="E93" s="88" t="s">
        <v>43</v>
      </c>
      <c r="F93" s="88" t="s">
        <v>61</v>
      </c>
      <c r="G93" s="168" t="s">
        <v>69</v>
      </c>
      <c r="H93" s="84" t="s">
        <v>745</v>
      </c>
      <c r="I93" s="83"/>
      <c r="J93" s="84"/>
      <c r="K93" s="83" t="s">
        <v>625</v>
      </c>
      <c r="L93" s="80" t="s">
        <v>626</v>
      </c>
      <c r="M93" s="80" t="s">
        <v>626</v>
      </c>
      <c r="N93" s="80" t="s">
        <v>43</v>
      </c>
      <c r="O93" s="81" t="s">
        <v>280</v>
      </c>
      <c r="P93" s="122"/>
      <c r="Q93" s="117" t="s">
        <v>552</v>
      </c>
      <c r="R93" s="132" t="s">
        <v>43</v>
      </c>
      <c r="S93" s="153"/>
      <c r="T93" s="68" t="str">
        <f ca="1">IFERROR(IF(OR(Q93="Ejecutado",Q93="No corresponde atención OGTI",Q93="Desistido",Q93="-",Q93="Para reformulación"),"-",IF(OR(S93="-",S93=""),"Falta fecha_estado",NETWORKDAYS(S93,TODAY(),{"02/04/2026";"03/04/2026";"30/06/2026"}))),"-")</f>
        <v>Falta fecha_estado</v>
      </c>
      <c r="U93" s="78" t="s">
        <v>43</v>
      </c>
      <c r="V93" s="155" t="s">
        <v>43</v>
      </c>
      <c r="W93" s="62" t="s">
        <v>43</v>
      </c>
      <c r="X93" s="152" t="s">
        <v>43</v>
      </c>
      <c r="Y93" s="171" t="s">
        <v>43</v>
      </c>
      <c r="Z93" s="196" t="str">
        <f t="shared" ca="1" si="8"/>
        <v>En tramite</v>
      </c>
      <c r="AA93" s="173" t="s">
        <v>43</v>
      </c>
      <c r="AB93" s="74" t="s">
        <v>43</v>
      </c>
      <c r="AC93" s="157" t="str">
        <f>IFERROR(IF(OR(AA93="-",AA93="",AB93="-",AB93=""),"-",CONCATENATE('Seguimiento OIT'!AB93-'Seguimiento OIT'!AA93+1," dias")),"-")</f>
        <v>-</v>
      </c>
      <c r="AD93" s="114" t="str">
        <f t="shared" ca="1" si="14"/>
        <v>-</v>
      </c>
      <c r="AE93" s="80" t="s">
        <v>746</v>
      </c>
      <c r="AF93" s="82" t="s">
        <v>43</v>
      </c>
      <c r="AG93" s="132" t="s">
        <v>43</v>
      </c>
      <c r="AH93" s="218" t="s">
        <v>44</v>
      </c>
      <c r="AI93" s="219" t="str">
        <f t="shared" si="9"/>
        <v>-</v>
      </c>
      <c r="AJ93" s="219" t="str">
        <f t="shared" si="10"/>
        <v>-</v>
      </c>
      <c r="AK93" s="219" t="str">
        <f t="shared" si="11"/>
        <v>-</v>
      </c>
      <c r="AL93" s="225" t="str">
        <f t="shared" si="12"/>
        <v>-</v>
      </c>
    </row>
    <row r="94" spans="1:38" ht="44.1" customHeight="1">
      <c r="A94" s="97" t="s">
        <v>747</v>
      </c>
      <c r="B94" s="37" t="str">
        <f t="shared" ca="1" si="7"/>
        <v>SI</v>
      </c>
      <c r="C94" s="166" t="s">
        <v>43</v>
      </c>
      <c r="D94" s="61" t="s">
        <v>44</v>
      </c>
      <c r="E94" s="88" t="s">
        <v>349</v>
      </c>
      <c r="F94" s="88" t="s">
        <v>61</v>
      </c>
      <c r="G94" s="168" t="s">
        <v>69</v>
      </c>
      <c r="H94" s="84" t="s">
        <v>748</v>
      </c>
      <c r="I94" s="83" t="s">
        <v>749</v>
      </c>
      <c r="J94" s="84" t="s">
        <v>750</v>
      </c>
      <c r="K94" s="83" t="s">
        <v>370</v>
      </c>
      <c r="L94" s="80" t="s">
        <v>371</v>
      </c>
      <c r="M94" s="80" t="s">
        <v>371</v>
      </c>
      <c r="N94" s="80" t="s">
        <v>196</v>
      </c>
      <c r="O94" s="81">
        <v>555943.68000000005</v>
      </c>
      <c r="P94" s="122">
        <v>45476</v>
      </c>
      <c r="Q94" s="117" t="s">
        <v>54</v>
      </c>
      <c r="R94" s="132" t="s">
        <v>43</v>
      </c>
      <c r="S94" s="153" t="s">
        <v>43</v>
      </c>
      <c r="T94" s="68" t="str">
        <f ca="1">IFERROR(IF(OR(Q94="Ejecutado",Q94="No corresponde atención OGTI",Q94="Desistido",Q94="-",Q94="Para reformulación"),"-",IF(OR(S94="-",S94=""),"Falta fecha_estado",NETWORKDAYS(S94,TODAY(),{"02/04/2026";"03/04/2026";"30/06/2026"}))),"-")</f>
        <v>-</v>
      </c>
      <c r="U94" s="78" t="s">
        <v>224</v>
      </c>
      <c r="V94" s="155" t="s">
        <v>751</v>
      </c>
      <c r="W94" s="62">
        <v>45664</v>
      </c>
      <c r="X94" s="152" t="s">
        <v>752</v>
      </c>
      <c r="Y94" s="171" t="s">
        <v>372</v>
      </c>
      <c r="Z94" s="196" t="str">
        <f t="shared" ca="1" si="8"/>
        <v>Vigente</v>
      </c>
      <c r="AA94" s="173">
        <v>45666</v>
      </c>
      <c r="AB94" s="74">
        <v>46760</v>
      </c>
      <c r="AC94" s="157" t="str">
        <f>IFERROR(IF(OR(AA94="-",AA94="",AB94="-",AB94=""),"-",CONCATENATE('Seguimiento OIT'!AB94-'Seguimiento OIT'!AA94+1," dias")),"-")</f>
        <v>1095 dias</v>
      </c>
      <c r="AD94" s="114" t="str">
        <f t="shared" ca="1" si="14"/>
        <v>-</v>
      </c>
      <c r="AE94" s="80" t="s">
        <v>43</v>
      </c>
      <c r="AF94" s="82" t="s">
        <v>753</v>
      </c>
      <c r="AG94" s="140" t="s">
        <v>754</v>
      </c>
      <c r="AH94" s="218" t="s">
        <v>44</v>
      </c>
      <c r="AI94" s="219" t="str">
        <f t="shared" si="9"/>
        <v>-</v>
      </c>
      <c r="AJ94" s="219" t="str">
        <f t="shared" si="10"/>
        <v>-</v>
      </c>
      <c r="AK94" s="219" t="str">
        <f t="shared" si="11"/>
        <v>-</v>
      </c>
      <c r="AL94" s="225" t="str">
        <f t="shared" si="12"/>
        <v>-</v>
      </c>
    </row>
    <row r="95" spans="1:38" ht="44.1" customHeight="1">
      <c r="A95" s="97" t="s">
        <v>755</v>
      </c>
      <c r="B95" s="37" t="str">
        <f t="shared" ca="1" si="7"/>
        <v>SI</v>
      </c>
      <c r="C95" s="166" t="s">
        <v>43</v>
      </c>
      <c r="D95" s="61" t="s">
        <v>44</v>
      </c>
      <c r="E95" s="88" t="s">
        <v>349</v>
      </c>
      <c r="F95" s="88" t="s">
        <v>61</v>
      </c>
      <c r="G95" s="168" t="s">
        <v>69</v>
      </c>
      <c r="H95" s="84" t="s">
        <v>756</v>
      </c>
      <c r="I95" s="83" t="s">
        <v>757</v>
      </c>
      <c r="J95" s="84" t="s">
        <v>758</v>
      </c>
      <c r="K95" s="83" t="s">
        <v>370</v>
      </c>
      <c r="L95" s="80" t="s">
        <v>371</v>
      </c>
      <c r="M95" s="80" t="s">
        <v>371</v>
      </c>
      <c r="N95" s="80" t="s">
        <v>196</v>
      </c>
      <c r="O95" s="81">
        <v>716783.55</v>
      </c>
      <c r="P95" s="122">
        <v>45384</v>
      </c>
      <c r="Q95" s="117" t="s">
        <v>54</v>
      </c>
      <c r="R95" s="132" t="s">
        <v>43</v>
      </c>
      <c r="S95" s="153"/>
      <c r="T95" s="68" t="str">
        <f ca="1">IFERROR(IF(OR(Q95="Ejecutado",Q95="No corresponde atención OGTI",Q95="Desistido",Q95="-",Q95="Para reformulación"),"-",IF(OR(S95="-",S95=""),"Falta fecha_estado",NETWORKDAYS(S95,TODAY(),{"02/04/2026";"03/04/2026";"30/06/2026"}))),"-")</f>
        <v>-</v>
      </c>
      <c r="U95" s="78" t="s">
        <v>224</v>
      </c>
      <c r="V95" s="155" t="s">
        <v>759</v>
      </c>
      <c r="W95" s="62">
        <v>45712</v>
      </c>
      <c r="X95" s="152" t="s">
        <v>760</v>
      </c>
      <c r="Y95" s="171" t="s">
        <v>371</v>
      </c>
      <c r="Z95" s="196" t="str">
        <f t="shared" ca="1" si="8"/>
        <v>Vigente</v>
      </c>
      <c r="AA95" s="173">
        <v>45834</v>
      </c>
      <c r="AB95" s="74">
        <v>46928</v>
      </c>
      <c r="AC95" s="157" t="str">
        <f>IFERROR(IF(OR(AA95="-",AA95="",AB95="-",AB95=""),"-",CONCATENATE('Seguimiento OIT'!AB95-'Seguimiento OIT'!AA95+1," dias")),"-")</f>
        <v>1095 dias</v>
      </c>
      <c r="AD95" s="114" t="str">
        <f t="shared" ca="1" si="14"/>
        <v>-</v>
      </c>
      <c r="AE95" s="80" t="s">
        <v>43</v>
      </c>
      <c r="AF95" s="82" t="s">
        <v>761</v>
      </c>
      <c r="AG95" s="140" t="s">
        <v>762</v>
      </c>
      <c r="AH95" s="218" t="s">
        <v>44</v>
      </c>
      <c r="AI95" s="219" t="str">
        <f t="shared" si="9"/>
        <v>-</v>
      </c>
      <c r="AJ95" s="219" t="str">
        <f t="shared" si="10"/>
        <v>-</v>
      </c>
      <c r="AK95" s="219" t="str">
        <f t="shared" si="11"/>
        <v>-</v>
      </c>
      <c r="AL95" s="225" t="str">
        <f t="shared" si="12"/>
        <v>-</v>
      </c>
    </row>
    <row r="96" spans="1:38" ht="44.1" customHeight="1">
      <c r="A96" s="97" t="s">
        <v>763</v>
      </c>
      <c r="B96" s="37" t="str">
        <f t="shared" ca="1" si="7"/>
        <v>SI</v>
      </c>
      <c r="C96" s="166" t="s">
        <v>43</v>
      </c>
      <c r="D96" s="61" t="s">
        <v>44</v>
      </c>
      <c r="E96" s="88" t="s">
        <v>349</v>
      </c>
      <c r="F96" s="88" t="s">
        <v>61</v>
      </c>
      <c r="G96" s="168" t="s">
        <v>69</v>
      </c>
      <c r="H96" s="84" t="s">
        <v>764</v>
      </c>
      <c r="I96" s="83" t="s">
        <v>765</v>
      </c>
      <c r="J96" s="84" t="s">
        <v>766</v>
      </c>
      <c r="K96" s="83" t="s">
        <v>370</v>
      </c>
      <c r="L96" s="80" t="s">
        <v>371</v>
      </c>
      <c r="M96" s="80" t="s">
        <v>371</v>
      </c>
      <c r="N96" s="80" t="s">
        <v>196</v>
      </c>
      <c r="O96" s="81">
        <v>2994840</v>
      </c>
      <c r="P96" s="122"/>
      <c r="Q96" s="116" t="s">
        <v>306</v>
      </c>
      <c r="R96" s="132" t="s">
        <v>579</v>
      </c>
      <c r="S96" s="153">
        <v>46121</v>
      </c>
      <c r="T96" s="68">
        <f ca="1">IFERROR(IF(OR(Q96="Ejecutado",Q96="No corresponde atención OGTI",Q96="Desistido",Q96="-",Q96="Para reformulación"),"-",IF(OR(S96="-",S96=""),"Falta fecha_estado",NETWORKDAYS(S96,TODAY(),{"02/04/2026";"03/04/2026";"30/06/2026"}))),"-")</f>
        <v>81</v>
      </c>
      <c r="U96" s="78" t="s">
        <v>224</v>
      </c>
      <c r="V96" s="155" t="s">
        <v>767</v>
      </c>
      <c r="W96" s="62">
        <v>46120</v>
      </c>
      <c r="X96" s="152" t="s">
        <v>498</v>
      </c>
      <c r="Y96" s="171" t="s">
        <v>371</v>
      </c>
      <c r="Z96" s="196" t="str">
        <f t="shared" ca="1" si="8"/>
        <v>Proceso de implementación/Activación/Entrega</v>
      </c>
      <c r="AA96" s="173" t="s">
        <v>43</v>
      </c>
      <c r="AB96" s="74" t="s">
        <v>43</v>
      </c>
      <c r="AC96" s="157" t="str">
        <f>IFERROR(IF(OR(AA96="-",AA96="",AB96="-",AB96=""),"-",CONCATENATE('Seguimiento OIT'!AB96-'Seguimiento OIT'!AA96+1," dias")),"-")</f>
        <v>-</v>
      </c>
      <c r="AD96" s="114" t="str">
        <f t="shared" ca="1" si="14"/>
        <v>-</v>
      </c>
      <c r="AE96" s="80" t="s">
        <v>43</v>
      </c>
      <c r="AF96" s="82" t="s">
        <v>768</v>
      </c>
      <c r="AG96" s="140" t="s">
        <v>769</v>
      </c>
      <c r="AH96" s="218" t="s">
        <v>44</v>
      </c>
      <c r="AI96" s="219" t="str">
        <f t="shared" si="9"/>
        <v>-</v>
      </c>
      <c r="AJ96" s="219" t="str">
        <f t="shared" si="10"/>
        <v>-</v>
      </c>
      <c r="AK96" s="219" t="str">
        <f t="shared" si="11"/>
        <v>-</v>
      </c>
      <c r="AL96" s="225" t="str">
        <f t="shared" si="12"/>
        <v>-</v>
      </c>
    </row>
    <row r="97" spans="1:38" ht="44.1" customHeight="1">
      <c r="A97" s="99" t="s">
        <v>770</v>
      </c>
      <c r="B97" s="37" t="str">
        <f t="shared" ca="1" si="7"/>
        <v>SI</v>
      </c>
      <c r="C97" s="166" t="s">
        <v>43</v>
      </c>
      <c r="D97" s="61" t="s">
        <v>44</v>
      </c>
      <c r="E97" s="88" t="s">
        <v>43</v>
      </c>
      <c r="F97" s="88" t="s">
        <v>46</v>
      </c>
      <c r="G97" s="168" t="s">
        <v>69</v>
      </c>
      <c r="H97" s="84" t="s">
        <v>771</v>
      </c>
      <c r="I97" s="129" t="s">
        <v>772</v>
      </c>
      <c r="J97" s="84" t="s">
        <v>773</v>
      </c>
      <c r="K97" s="83" t="s">
        <v>222</v>
      </c>
      <c r="L97" s="80" t="s">
        <v>223</v>
      </c>
      <c r="M97" s="80" t="s">
        <v>223</v>
      </c>
      <c r="N97" s="80" t="s">
        <v>437</v>
      </c>
      <c r="O97" s="81"/>
      <c r="P97" s="122">
        <v>46107</v>
      </c>
      <c r="Q97" s="117" t="s">
        <v>774</v>
      </c>
      <c r="R97" s="132" t="s">
        <v>470</v>
      </c>
      <c r="S97" s="153">
        <v>46217</v>
      </c>
      <c r="T97" s="68">
        <f ca="1">IFERROR(IF(OR(Q97="Ejecutado",Q97="No corresponde atención OGTI",Q97="Desistido",Q97="-",Q97="Para reformulación"),"-",IF(OR(S97="-",S97=""),"Falta fecha_estado",NETWORKDAYS(S97,TODAY(),{"02/04/2026";"03/04/2026";"30/06/2026"}))),"-")</f>
        <v>14</v>
      </c>
      <c r="U97" s="78" t="s">
        <v>43</v>
      </c>
      <c r="V97" s="155" t="s">
        <v>43</v>
      </c>
      <c r="W97" s="62" t="s">
        <v>43</v>
      </c>
      <c r="X97" s="152" t="s">
        <v>43</v>
      </c>
      <c r="Y97" s="171" t="s">
        <v>43</v>
      </c>
      <c r="Z97" s="196" t="str">
        <f t="shared" ca="1" si="8"/>
        <v>En tramite</v>
      </c>
      <c r="AA97" s="173" t="s">
        <v>43</v>
      </c>
      <c r="AB97" s="74" t="s">
        <v>43</v>
      </c>
      <c r="AC97" s="157" t="str">
        <f>IFERROR(IF(OR(AA97="-",AA97="",AB97="-",AB97=""),"-",CONCATENATE('Seguimiento OIT'!AB97-'Seguimiento OIT'!AA97+1," dias")),"-")</f>
        <v>-</v>
      </c>
      <c r="AD97" s="114" t="str">
        <f t="shared" ca="1" si="14"/>
        <v>-</v>
      </c>
      <c r="AE97" s="80" t="s">
        <v>775</v>
      </c>
      <c r="AF97" s="82" t="s">
        <v>43</v>
      </c>
      <c r="AG97" s="132" t="s">
        <v>43</v>
      </c>
      <c r="AH97" s="218" t="s">
        <v>44</v>
      </c>
      <c r="AI97" s="219" t="str">
        <f t="shared" si="9"/>
        <v>-</v>
      </c>
      <c r="AJ97" s="219" t="str">
        <f t="shared" si="10"/>
        <v>-</v>
      </c>
      <c r="AK97" s="219" t="str">
        <f t="shared" si="11"/>
        <v>-</v>
      </c>
      <c r="AL97" s="225" t="str">
        <f t="shared" si="12"/>
        <v>-</v>
      </c>
    </row>
    <row r="98" spans="1:38" ht="44.1" customHeight="1">
      <c r="A98" s="99" t="s">
        <v>776</v>
      </c>
      <c r="B98" s="37" t="str">
        <f t="shared" ca="1" si="7"/>
        <v>SI</v>
      </c>
      <c r="C98" s="166" t="s">
        <v>43</v>
      </c>
      <c r="D98" s="61" t="s">
        <v>44</v>
      </c>
      <c r="E98" s="88" t="s">
        <v>45</v>
      </c>
      <c r="F98" s="88" t="s">
        <v>43</v>
      </c>
      <c r="G98" s="168" t="s">
        <v>69</v>
      </c>
      <c r="H98" s="84" t="s">
        <v>777</v>
      </c>
      <c r="I98" s="83" t="s">
        <v>778</v>
      </c>
      <c r="J98" s="84" t="s">
        <v>779</v>
      </c>
      <c r="K98" s="83" t="s">
        <v>222</v>
      </c>
      <c r="L98" s="80" t="s">
        <v>223</v>
      </c>
      <c r="M98" s="80" t="s">
        <v>223</v>
      </c>
      <c r="N98" s="80" t="s">
        <v>437</v>
      </c>
      <c r="O98" s="81">
        <v>42700</v>
      </c>
      <c r="P98" s="122">
        <v>45989</v>
      </c>
      <c r="Q98" s="117" t="s">
        <v>54</v>
      </c>
      <c r="R98" s="132" t="s">
        <v>43</v>
      </c>
      <c r="S98" s="153"/>
      <c r="T98" s="68" t="str">
        <f ca="1">IFERROR(IF(OR(Q98="Ejecutado",Q98="No corresponde atención OGTI",Q98="Desistido",Q98="-",Q98="Para reformulación"),"-",IF(OR(S98="-",S98=""),"Falta fecha_estado",NETWORKDAYS(S98,TODAY(),{"02/04/2026";"03/04/2026";"30/06/2026"}))),"-")</f>
        <v>-</v>
      </c>
      <c r="U98" s="78" t="s">
        <v>224</v>
      </c>
      <c r="V98" s="155" t="s">
        <v>780</v>
      </c>
      <c r="W98" s="62" t="s">
        <v>43</v>
      </c>
      <c r="X98" s="152" t="s">
        <v>43</v>
      </c>
      <c r="Y98" s="171" t="s">
        <v>43</v>
      </c>
      <c r="Z98" s="196" t="str">
        <f t="shared" ca="1" si="8"/>
        <v>Vigente</v>
      </c>
      <c r="AA98" s="173">
        <v>46019</v>
      </c>
      <c r="AB98" s="74">
        <v>46382</v>
      </c>
      <c r="AC98" s="157" t="str">
        <f>IFERROR(IF(OR(AA98="-",AA98="",AB98="-",AB98=""),"-",CONCATENATE('Seguimiento OIT'!AB98-'Seguimiento OIT'!AA98+1," dias")),"-")</f>
        <v>364 dias</v>
      </c>
      <c r="AD98" s="114" t="str">
        <f t="shared" ca="1" si="14"/>
        <v>-</v>
      </c>
      <c r="AE98" s="80" t="s">
        <v>43</v>
      </c>
      <c r="AF98" s="82" t="s">
        <v>781</v>
      </c>
      <c r="AG98" s="132" t="s">
        <v>43</v>
      </c>
      <c r="AH98" s="218" t="s">
        <v>44</v>
      </c>
      <c r="AI98" s="219" t="str">
        <f t="shared" si="9"/>
        <v>-</v>
      </c>
      <c r="AJ98" s="219" t="str">
        <f t="shared" si="10"/>
        <v>-</v>
      </c>
      <c r="AK98" s="219" t="str">
        <f t="shared" si="11"/>
        <v>-</v>
      </c>
      <c r="AL98" s="225" t="str">
        <f t="shared" si="12"/>
        <v>-</v>
      </c>
    </row>
    <row r="99" spans="1:38" ht="44.1" customHeight="1">
      <c r="A99" s="99" t="s">
        <v>782</v>
      </c>
      <c r="B99" s="37" t="str">
        <f t="shared" ca="1" si="7"/>
        <v>SI</v>
      </c>
      <c r="C99" s="166" t="s">
        <v>43</v>
      </c>
      <c r="D99" s="61" t="s">
        <v>44</v>
      </c>
      <c r="E99" s="88" t="s">
        <v>45</v>
      </c>
      <c r="F99" s="88" t="s">
        <v>433</v>
      </c>
      <c r="G99" s="168" t="s">
        <v>69</v>
      </c>
      <c r="H99" s="84" t="s">
        <v>783</v>
      </c>
      <c r="I99" s="83" t="s">
        <v>784</v>
      </c>
      <c r="J99" s="84" t="s">
        <v>773</v>
      </c>
      <c r="K99" s="83" t="s">
        <v>222</v>
      </c>
      <c r="L99" s="80" t="s">
        <v>223</v>
      </c>
      <c r="M99" s="80" t="s">
        <v>223</v>
      </c>
      <c r="N99" s="80" t="s">
        <v>437</v>
      </c>
      <c r="O99" s="81">
        <v>543423.6</v>
      </c>
      <c r="P99" s="122">
        <v>46086</v>
      </c>
      <c r="Q99" s="116" t="s">
        <v>306</v>
      </c>
      <c r="R99" s="132" t="s">
        <v>482</v>
      </c>
      <c r="S99" s="153"/>
      <c r="T99" s="68" t="str">
        <f ca="1">IFERROR(IF(OR(Q99="Ejecutado",Q99="No corresponde atención OGTI",Q99="Desistido",Q99="-",Q99="Para reformulación"),"-",IF(OR(S99="-",S99=""),"Falta fecha_estado",NETWORKDAYS(S99,TODAY(),{"02/04/2026";"03/04/2026";"30/06/2026"}))),"-")</f>
        <v>Falta fecha_estado</v>
      </c>
      <c r="U99" s="78" t="s">
        <v>224</v>
      </c>
      <c r="V99" s="155" t="s">
        <v>785</v>
      </c>
      <c r="W99" s="62">
        <v>46184</v>
      </c>
      <c r="X99" s="152" t="s">
        <v>786</v>
      </c>
      <c r="Y99" s="171" t="s">
        <v>223</v>
      </c>
      <c r="Z99" s="196" t="str">
        <f t="shared" ca="1" si="8"/>
        <v>Proceso de implementación/Activación/Entrega</v>
      </c>
      <c r="AA99" s="173" t="s">
        <v>43</v>
      </c>
      <c r="AB99" s="74" t="s">
        <v>43</v>
      </c>
      <c r="AC99" s="157" t="str">
        <f>IFERROR(IF(OR(AA99="-",AA99="",AB99="-",AB99=""),"-",CONCATENATE('Seguimiento OIT'!AB99-'Seguimiento OIT'!AA99+1," dias")),"-")</f>
        <v>-</v>
      </c>
      <c r="AD99" s="114" t="str">
        <f t="shared" ca="1" si="14"/>
        <v>-</v>
      </c>
      <c r="AE99" s="80" t="s">
        <v>43</v>
      </c>
      <c r="AF99" s="82" t="s">
        <v>43</v>
      </c>
      <c r="AG99" s="140" t="s">
        <v>787</v>
      </c>
      <c r="AH99" s="218" t="s">
        <v>44</v>
      </c>
      <c r="AI99" s="219" t="str">
        <f t="shared" si="9"/>
        <v>-</v>
      </c>
      <c r="AJ99" s="219" t="str">
        <f t="shared" si="10"/>
        <v>-</v>
      </c>
      <c r="AK99" s="219" t="str">
        <f t="shared" si="11"/>
        <v>-</v>
      </c>
      <c r="AL99" s="225" t="str">
        <f t="shared" si="12"/>
        <v>-</v>
      </c>
    </row>
    <row r="100" spans="1:38" ht="44.1" customHeight="1">
      <c r="A100" s="97" t="s">
        <v>788</v>
      </c>
      <c r="B100" s="37" t="str">
        <f t="shared" ca="1" si="7"/>
        <v>SI</v>
      </c>
      <c r="C100" s="166" t="s">
        <v>43</v>
      </c>
      <c r="D100" s="61" t="s">
        <v>44</v>
      </c>
      <c r="E100" s="88" t="s">
        <v>349</v>
      </c>
      <c r="F100" s="88" t="s">
        <v>61</v>
      </c>
      <c r="G100" s="168" t="s">
        <v>69</v>
      </c>
      <c r="H100" s="84" t="s">
        <v>789</v>
      </c>
      <c r="I100" s="83" t="s">
        <v>790</v>
      </c>
      <c r="J100" s="84" t="s">
        <v>791</v>
      </c>
      <c r="K100" s="83" t="s">
        <v>370</v>
      </c>
      <c r="L100" s="80" t="s">
        <v>371</v>
      </c>
      <c r="M100" s="80" t="s">
        <v>792</v>
      </c>
      <c r="N100" s="80" t="s">
        <v>196</v>
      </c>
      <c r="O100" s="81">
        <v>8437310</v>
      </c>
      <c r="P100" s="122">
        <v>44995</v>
      </c>
      <c r="Q100" s="117" t="s">
        <v>54</v>
      </c>
      <c r="R100" s="132" t="s">
        <v>43</v>
      </c>
      <c r="S100" s="153" t="s">
        <v>43</v>
      </c>
      <c r="T100" s="68" t="str">
        <f ca="1">IFERROR(IF(OR(Q100="Ejecutado",Q100="No corresponde atención OGTI",Q100="Desistido",Q100="-",Q100="Para reformulación"),"-",IF(OR(S100="-",S100=""),"Falta fecha_estado",NETWORKDAYS(S100,TODAY(),{"02/04/2026";"03/04/2026";"30/06/2026"}))),"-")</f>
        <v>-</v>
      </c>
      <c r="U100" s="78" t="s">
        <v>224</v>
      </c>
      <c r="V100" s="155" t="s">
        <v>793</v>
      </c>
      <c r="W100" s="62">
        <v>45250</v>
      </c>
      <c r="X100" s="152" t="s">
        <v>794</v>
      </c>
      <c r="Y100" s="171" t="s">
        <v>792</v>
      </c>
      <c r="Z100" s="196" t="str">
        <f t="shared" ca="1" si="8"/>
        <v>Vigente</v>
      </c>
      <c r="AA100" s="173">
        <v>45269</v>
      </c>
      <c r="AB100" s="74">
        <v>46364</v>
      </c>
      <c r="AC100" s="157" t="str">
        <f>IFERROR(IF(OR(AA100="-",AA100="",AB100="-",AB100=""),"-",CONCATENATE('Seguimiento OIT'!AB100-'Seguimiento OIT'!AA100+1," dias")),"-")</f>
        <v>1096 dias</v>
      </c>
      <c r="AD100" s="114" t="str">
        <f t="shared" ca="1" si="14"/>
        <v>-</v>
      </c>
      <c r="AE100" s="80" t="s">
        <v>43</v>
      </c>
      <c r="AF100" s="82" t="s">
        <v>795</v>
      </c>
      <c r="AG100" s="140" t="s">
        <v>796</v>
      </c>
      <c r="AH100" s="218" t="s">
        <v>797</v>
      </c>
      <c r="AI100" s="219" t="str">
        <f t="shared" si="9"/>
        <v>Revisión OAB</v>
      </c>
      <c r="AJ100" s="219" t="str">
        <f t="shared" si="10"/>
        <v>157354-2026 (Requerimiento)</v>
      </c>
      <c r="AK100" s="219" t="str">
        <f t="shared" si="11"/>
        <v>Sin registro</v>
      </c>
      <c r="AL100" s="225" t="str">
        <f t="shared" si="12"/>
        <v>Sin registro</v>
      </c>
    </row>
    <row r="101" spans="1:38" ht="44.1" customHeight="1">
      <c r="A101" s="37" t="s">
        <v>798</v>
      </c>
      <c r="B101" s="37" t="str">
        <f t="shared" ca="1" si="7"/>
        <v>SI</v>
      </c>
      <c r="C101" s="166" t="s">
        <v>788</v>
      </c>
      <c r="D101" s="61">
        <v>2026</v>
      </c>
      <c r="E101" s="88" t="s">
        <v>349</v>
      </c>
      <c r="F101" s="88" t="s">
        <v>46</v>
      </c>
      <c r="G101" s="168" t="s">
        <v>69</v>
      </c>
      <c r="H101" s="84" t="s">
        <v>799</v>
      </c>
      <c r="I101" s="84" t="s">
        <v>800</v>
      </c>
      <c r="J101" s="84" t="s">
        <v>791</v>
      </c>
      <c r="K101" s="83" t="s">
        <v>370</v>
      </c>
      <c r="L101" s="80" t="s">
        <v>371</v>
      </c>
      <c r="M101" s="80" t="s">
        <v>792</v>
      </c>
      <c r="N101" s="80" t="s">
        <v>196</v>
      </c>
      <c r="O101" s="81" t="s">
        <v>280</v>
      </c>
      <c r="P101" s="122">
        <v>46224</v>
      </c>
      <c r="Q101" s="117" t="s">
        <v>430</v>
      </c>
      <c r="R101" s="132" t="s">
        <v>423</v>
      </c>
      <c r="S101" s="153">
        <v>46224</v>
      </c>
      <c r="T101" s="68">
        <f ca="1">IFERROR(IF(OR(Q101="Ejecutado",Q101="No corresponde atención OGTI",Q101="Desistido",Q101="-",Q101="Para reformulación"),"-",IF(OR(S101="-",S101=""),"Falta fecha_estado",NETWORKDAYS(S101,TODAY(),{"02/04/2026";"03/04/2026";"30/06/2026"}))),"-")</f>
        <v>9</v>
      </c>
      <c r="U101" s="78"/>
      <c r="V101" s="155"/>
      <c r="W101" s="62"/>
      <c r="X101" s="152"/>
      <c r="Y101" s="171"/>
      <c r="Z101" s="196" t="str">
        <f t="shared" ca="1" si="8"/>
        <v>En tramite</v>
      </c>
      <c r="AA101" s="173"/>
      <c r="AB101" s="74"/>
      <c r="AC101" s="157" t="str">
        <f>IFERROR(IF(OR(AA101="-",AA101="",AB101="-",AB101=""),"-",CONCATENATE('Seguimiento OIT'!AB101-'Seguimiento OIT'!AA101+1," dias")),"-")</f>
        <v>-</v>
      </c>
      <c r="AD101" s="114" t="str">
        <f ca="1">IFERROR(IF(Z101="Vencido",(TODAY()-AB101)+1,"-"),"-")</f>
        <v>-</v>
      </c>
      <c r="AE101" s="80" t="s">
        <v>43</v>
      </c>
      <c r="AF101" s="1" t="s">
        <v>801</v>
      </c>
      <c r="AG101" s="140"/>
      <c r="AH101" s="218" t="s">
        <v>44</v>
      </c>
      <c r="AI101" s="219" t="str">
        <f t="shared" si="9"/>
        <v>-</v>
      </c>
      <c r="AJ101" s="219" t="str">
        <f t="shared" si="10"/>
        <v>-</v>
      </c>
      <c r="AK101" s="219" t="str">
        <f t="shared" si="11"/>
        <v>-</v>
      </c>
      <c r="AL101" s="225" t="str">
        <f t="shared" si="12"/>
        <v>-</v>
      </c>
    </row>
    <row r="102" spans="1:38" ht="44.1" customHeight="1">
      <c r="A102" s="97" t="s">
        <v>802</v>
      </c>
      <c r="B102" s="37" t="str">
        <f t="shared" ca="1" si="7"/>
        <v>SI</v>
      </c>
      <c r="C102" s="166" t="s">
        <v>43</v>
      </c>
      <c r="D102" s="61" t="s">
        <v>44</v>
      </c>
      <c r="E102" s="88" t="s">
        <v>349</v>
      </c>
      <c r="F102" s="88" t="s">
        <v>61</v>
      </c>
      <c r="G102" s="168" t="s">
        <v>69</v>
      </c>
      <c r="H102" s="84" t="s">
        <v>803</v>
      </c>
      <c r="I102" s="83" t="s">
        <v>804</v>
      </c>
      <c r="J102" s="84" t="s">
        <v>805</v>
      </c>
      <c r="K102" s="83" t="s">
        <v>370</v>
      </c>
      <c r="L102" s="80" t="s">
        <v>371</v>
      </c>
      <c r="M102" s="80" t="s">
        <v>806</v>
      </c>
      <c r="N102" s="80" t="s">
        <v>196</v>
      </c>
      <c r="O102" s="81">
        <v>7998763.3899999997</v>
      </c>
      <c r="P102" s="122">
        <v>44439</v>
      </c>
      <c r="Q102" s="116" t="s">
        <v>306</v>
      </c>
      <c r="R102" s="132" t="s">
        <v>579</v>
      </c>
      <c r="S102" s="153">
        <v>45003</v>
      </c>
      <c r="T102" s="68">
        <f ca="1">IFERROR(IF(OR(Q102="Ejecutado",Q102="No corresponde atención OGTI",Q102="Desistido",Q102="-",Q102="Para reformulación"),"-",IF(OR(S102="-",S102=""),"Falta fecha_estado",NETWORKDAYS(S102,TODAY(),{"02/04/2026";"03/04/2026";"30/06/2026"}))),"-")</f>
        <v>877</v>
      </c>
      <c r="U102" s="78" t="s">
        <v>224</v>
      </c>
      <c r="V102" s="155" t="s">
        <v>807</v>
      </c>
      <c r="W102" s="62">
        <v>45002</v>
      </c>
      <c r="X102" s="152" t="s">
        <v>808</v>
      </c>
      <c r="Y102" s="171" t="s">
        <v>806</v>
      </c>
      <c r="Z102" s="196" t="str">
        <f t="shared" ca="1" si="8"/>
        <v>Proceso de implementación/Activación/Entrega</v>
      </c>
      <c r="AA102" s="173" t="s">
        <v>43</v>
      </c>
      <c r="AB102" s="74" t="s">
        <v>43</v>
      </c>
      <c r="AC102" s="157" t="str">
        <f>IFERROR(IF(OR(AA102="-",AA102="",AB102="-",AB102=""),"-",CONCATENATE('Seguimiento OIT'!AB102-'Seguimiento OIT'!AA102+1," dias")),"-")</f>
        <v>-</v>
      </c>
      <c r="AD102" s="114" t="str">
        <f t="shared" ca="1" si="14"/>
        <v>-</v>
      </c>
      <c r="AE102" s="80" t="s">
        <v>43</v>
      </c>
      <c r="AF102" s="82" t="s">
        <v>809</v>
      </c>
      <c r="AG102" s="140" t="s">
        <v>810</v>
      </c>
      <c r="AH102" s="218" t="s">
        <v>44</v>
      </c>
      <c r="AI102" s="219" t="str">
        <f t="shared" si="9"/>
        <v>-</v>
      </c>
      <c r="AJ102" s="219" t="str">
        <f t="shared" si="10"/>
        <v>-</v>
      </c>
      <c r="AK102" s="219" t="str">
        <f t="shared" si="11"/>
        <v>-</v>
      </c>
      <c r="AL102" s="225" t="str">
        <f t="shared" si="12"/>
        <v>-</v>
      </c>
    </row>
    <row r="103" spans="1:38" ht="50.25" customHeight="1">
      <c r="A103" s="97" t="s">
        <v>811</v>
      </c>
      <c r="B103" s="37" t="str">
        <f t="shared" ca="1" si="7"/>
        <v>SI</v>
      </c>
      <c r="C103" s="166" t="s">
        <v>43</v>
      </c>
      <c r="D103" s="61">
        <v>2026</v>
      </c>
      <c r="E103" s="88" t="s">
        <v>45</v>
      </c>
      <c r="F103" s="88" t="s">
        <v>433</v>
      </c>
      <c r="G103" s="168" t="s">
        <v>69</v>
      </c>
      <c r="H103" s="84" t="s">
        <v>812</v>
      </c>
      <c r="I103" s="83" t="s">
        <v>813</v>
      </c>
      <c r="J103" s="84" t="s">
        <v>814</v>
      </c>
      <c r="K103" s="83" t="s">
        <v>222</v>
      </c>
      <c r="L103" s="80" t="s">
        <v>223</v>
      </c>
      <c r="M103" s="80" t="s">
        <v>223</v>
      </c>
      <c r="N103" s="80" t="s">
        <v>437</v>
      </c>
      <c r="O103" s="81">
        <v>491220</v>
      </c>
      <c r="P103" s="122">
        <v>46085</v>
      </c>
      <c r="Q103" s="116" t="s">
        <v>815</v>
      </c>
      <c r="R103" s="132" t="s">
        <v>482</v>
      </c>
      <c r="S103" s="153">
        <v>46128</v>
      </c>
      <c r="T103" s="68">
        <f ca="1">IFERROR(IF(OR(Q103="Ejecutado",Q103="No corresponde atención OGTI",Q103="Desistido",Q103="-",Q103="Para reformulación"),"-",IF(OR(S103="-",S103=""),"Falta fecha_estado",NETWORKDAYS(S103,TODAY(),{"02/04/2026";"03/04/2026";"30/06/2026"}))),"-")</f>
        <v>76</v>
      </c>
      <c r="U103" s="78" t="s">
        <v>224</v>
      </c>
      <c r="V103" s="155" t="s">
        <v>816</v>
      </c>
      <c r="W103" s="62">
        <v>46128</v>
      </c>
      <c r="X103" s="152" t="s">
        <v>817</v>
      </c>
      <c r="Y103" s="171" t="s">
        <v>223</v>
      </c>
      <c r="Z103" s="196" t="str">
        <f t="shared" ca="1" si="8"/>
        <v>En tramite</v>
      </c>
      <c r="AA103" s="173" t="s">
        <v>43</v>
      </c>
      <c r="AB103" s="74" t="s">
        <v>43</v>
      </c>
      <c r="AC103" s="157" t="str">
        <f>IFERROR(IF(OR(AA103="-",AA103="",AB103="-",AB103=""),"-",CONCATENATE('Seguimiento OIT'!AB103-'Seguimiento OIT'!AA103+1," dias")),"-")</f>
        <v>-</v>
      </c>
      <c r="AD103" s="114" t="str">
        <f t="shared" ca="1" si="14"/>
        <v>-</v>
      </c>
      <c r="AE103" s="80" t="s">
        <v>818</v>
      </c>
      <c r="AF103" s="82" t="s">
        <v>819</v>
      </c>
      <c r="AG103" s="140" t="s">
        <v>820</v>
      </c>
      <c r="AH103" s="218" t="s">
        <v>44</v>
      </c>
      <c r="AI103" s="219" t="str">
        <f t="shared" si="9"/>
        <v>-</v>
      </c>
      <c r="AJ103" s="219" t="str">
        <f t="shared" si="10"/>
        <v>-</v>
      </c>
      <c r="AK103" s="219" t="str">
        <f t="shared" si="11"/>
        <v>-</v>
      </c>
      <c r="AL103" s="225" t="str">
        <f t="shared" si="12"/>
        <v>-</v>
      </c>
    </row>
    <row r="104" spans="1:38" ht="50.25" customHeight="1">
      <c r="A104" s="99" t="s">
        <v>821</v>
      </c>
      <c r="B104" s="37" t="str">
        <f t="shared" ca="1" si="7"/>
        <v>SI</v>
      </c>
      <c r="C104" s="166" t="s">
        <v>43</v>
      </c>
      <c r="D104" s="61">
        <v>2026</v>
      </c>
      <c r="E104" s="88" t="s">
        <v>349</v>
      </c>
      <c r="F104" s="88" t="s">
        <v>46</v>
      </c>
      <c r="G104" s="168" t="s">
        <v>69</v>
      </c>
      <c r="H104" s="84" t="s">
        <v>822</v>
      </c>
      <c r="I104" s="62" t="s">
        <v>823</v>
      </c>
      <c r="J104" s="84" t="s">
        <v>814</v>
      </c>
      <c r="K104" s="83" t="s">
        <v>222</v>
      </c>
      <c r="L104" s="80" t="s">
        <v>223</v>
      </c>
      <c r="M104" s="80" t="s">
        <v>223</v>
      </c>
      <c r="N104" s="80" t="s">
        <v>437</v>
      </c>
      <c r="O104" s="81"/>
      <c r="P104" s="122">
        <v>46333</v>
      </c>
      <c r="Q104" s="117" t="s">
        <v>824</v>
      </c>
      <c r="R104" s="132" t="s">
        <v>482</v>
      </c>
      <c r="S104" s="153">
        <v>46219</v>
      </c>
      <c r="T104" s="68">
        <f ca="1">IFERROR(IF(OR(Q104="Ejecutado",Q104="No corresponde atención OGTI",Q104="Desistido",Q104="-",Q104="Para reformulación"),"-",IF(OR(S104="-",S104=""),"Falta fecha_estado",NETWORKDAYS(S104,TODAY(),{"02/04/2026";"03/04/2026";"30/06/2026"}))),"-")</f>
        <v>12</v>
      </c>
      <c r="U104" s="78" t="s">
        <v>43</v>
      </c>
      <c r="V104" s="155" t="s">
        <v>43</v>
      </c>
      <c r="W104" s="62" t="s">
        <v>43</v>
      </c>
      <c r="X104" s="152" t="s">
        <v>43</v>
      </c>
      <c r="Y104" s="171" t="s">
        <v>43</v>
      </c>
      <c r="Z104" s="196" t="str">
        <f t="shared" ca="1" si="8"/>
        <v>En tramite</v>
      </c>
      <c r="AA104" s="173" t="s">
        <v>43</v>
      </c>
      <c r="AB104" s="74" t="s">
        <v>43</v>
      </c>
      <c r="AC104" s="157" t="str">
        <f>IFERROR(IF(OR(AA104="-",AA104="",AB104="-",AB104=""),"-",CONCATENATE('Seguimiento OIT'!AB104-'Seguimiento OIT'!AA104+1," dias")),"-")</f>
        <v>-</v>
      </c>
      <c r="AD104" s="114" t="str">
        <f t="shared" ca="1" si="14"/>
        <v>-</v>
      </c>
      <c r="AE104" s="80" t="s">
        <v>825</v>
      </c>
      <c r="AF104" s="82" t="s">
        <v>826</v>
      </c>
      <c r="AG104" s="140" t="s">
        <v>827</v>
      </c>
      <c r="AH104" s="218" t="s">
        <v>44</v>
      </c>
      <c r="AI104" s="219" t="str">
        <f t="shared" si="9"/>
        <v>-</v>
      </c>
      <c r="AJ104" s="219" t="str">
        <f t="shared" si="10"/>
        <v>-</v>
      </c>
      <c r="AK104" s="219" t="str">
        <f t="shared" si="11"/>
        <v>-</v>
      </c>
      <c r="AL104" s="225" t="str">
        <f t="shared" si="12"/>
        <v>-</v>
      </c>
    </row>
    <row r="105" spans="1:38" ht="54.75" customHeight="1">
      <c r="A105" s="98" t="s">
        <v>828</v>
      </c>
      <c r="B105" s="37" t="str">
        <f t="shared" ca="1" si="7"/>
        <v>SI</v>
      </c>
      <c r="C105" s="165" t="s">
        <v>43</v>
      </c>
      <c r="D105" s="61" t="s">
        <v>44</v>
      </c>
      <c r="E105" s="61" t="s">
        <v>45</v>
      </c>
      <c r="F105" s="61" t="s">
        <v>46</v>
      </c>
      <c r="G105" s="167" t="s">
        <v>69</v>
      </c>
      <c r="H105" s="60" t="s">
        <v>829</v>
      </c>
      <c r="I105" s="62" t="s">
        <v>830</v>
      </c>
      <c r="J105" s="60" t="s">
        <v>831</v>
      </c>
      <c r="K105" s="62" t="s">
        <v>222</v>
      </c>
      <c r="L105" s="63" t="s">
        <v>223</v>
      </c>
      <c r="M105" s="63" t="s">
        <v>223</v>
      </c>
      <c r="N105" s="63" t="s">
        <v>326</v>
      </c>
      <c r="O105" s="64">
        <v>21000</v>
      </c>
      <c r="P105" s="120">
        <v>46120</v>
      </c>
      <c r="Q105" s="116" t="s">
        <v>54</v>
      </c>
      <c r="R105" s="159" t="s">
        <v>43</v>
      </c>
      <c r="S105" s="152"/>
      <c r="T105" s="68" t="str">
        <f ca="1">IFERROR(IF(OR(Q105="Ejecutado",Q105="No corresponde atención OGTI",Q105="Desistido",Q105="-",Q105="Para reformulación"),"-",IF(OR(S105="-",S105=""),"Falta fecha_estado",NETWORKDAYS(S105,TODAY(),{"02/04/2026";"03/04/2026";"30/06/2026"}))),"-")</f>
        <v>-</v>
      </c>
      <c r="U105" s="69" t="s">
        <v>224</v>
      </c>
      <c r="V105" s="155" t="s">
        <v>832</v>
      </c>
      <c r="W105" s="62">
        <v>46188</v>
      </c>
      <c r="X105" s="152" t="s">
        <v>189</v>
      </c>
      <c r="Y105" s="169" t="s">
        <v>223</v>
      </c>
      <c r="Z105" s="196" t="str">
        <f t="shared" ca="1" si="8"/>
        <v>Vigente</v>
      </c>
      <c r="AA105" s="173">
        <v>46165</v>
      </c>
      <c r="AB105" s="74">
        <v>46529</v>
      </c>
      <c r="AC105" s="157" t="str">
        <f>IFERROR(IF(OR(AA105="-",AA105="",AB105="-",AB105=""),"-",CONCATENATE('Seguimiento OIT'!AB105-'Seguimiento OIT'!AA105+1," dias")),"-")</f>
        <v>365 dias</v>
      </c>
      <c r="AD105" s="114" t="str">
        <f t="shared" ca="1" si="14"/>
        <v>-</v>
      </c>
      <c r="AE105" s="82" t="s">
        <v>833</v>
      </c>
      <c r="AF105" s="82" t="s">
        <v>834</v>
      </c>
      <c r="AG105" s="140" t="s">
        <v>835</v>
      </c>
      <c r="AH105" s="218" t="s">
        <v>44</v>
      </c>
      <c r="AI105" s="219" t="str">
        <f t="shared" si="9"/>
        <v>-</v>
      </c>
      <c r="AJ105" s="219" t="str">
        <f t="shared" si="10"/>
        <v>-</v>
      </c>
      <c r="AK105" s="219" t="str">
        <f t="shared" si="11"/>
        <v>-</v>
      </c>
      <c r="AL105" s="225" t="str">
        <f t="shared" si="12"/>
        <v>-</v>
      </c>
    </row>
    <row r="106" spans="1:38" ht="44.1" customHeight="1">
      <c r="A106" s="98" t="s">
        <v>836</v>
      </c>
      <c r="B106" s="37" t="str">
        <f t="shared" ca="1" si="7"/>
        <v>SI</v>
      </c>
      <c r="C106" s="165" t="s">
        <v>43</v>
      </c>
      <c r="D106" s="61" t="s">
        <v>44</v>
      </c>
      <c r="E106" s="61" t="s">
        <v>45</v>
      </c>
      <c r="F106" s="61" t="s">
        <v>61</v>
      </c>
      <c r="G106" s="167" t="s">
        <v>69</v>
      </c>
      <c r="H106" s="60" t="s">
        <v>837</v>
      </c>
      <c r="I106" s="62" t="s">
        <v>838</v>
      </c>
      <c r="J106" s="60" t="s">
        <v>839</v>
      </c>
      <c r="K106" s="62" t="s">
        <v>222</v>
      </c>
      <c r="L106" s="63" t="s">
        <v>223</v>
      </c>
      <c r="M106" s="63" t="s">
        <v>223</v>
      </c>
      <c r="N106" s="63" t="s">
        <v>437</v>
      </c>
      <c r="O106" s="64"/>
      <c r="P106" s="120">
        <v>46128</v>
      </c>
      <c r="Q106" s="116" t="s">
        <v>54</v>
      </c>
      <c r="R106" s="159" t="s">
        <v>43</v>
      </c>
      <c r="S106" s="152"/>
      <c r="T106" s="68" t="str">
        <f ca="1">IFERROR(IF(OR(Q106="Ejecutado",Q106="No corresponde atención OGTI",Q106="Desistido",Q106="-",Q106="Para reformulación"),"-",IF(OR(S106="-",S106=""),"Falta fecha_estado",NETWORKDAYS(S106,TODAY(),{"02/04/2026";"03/04/2026";"30/06/2026"}))),"-")</f>
        <v>-</v>
      </c>
      <c r="U106" s="69" t="s">
        <v>224</v>
      </c>
      <c r="V106" s="155" t="s">
        <v>840</v>
      </c>
      <c r="W106" s="62" t="s">
        <v>43</v>
      </c>
      <c r="X106" s="152" t="s">
        <v>43</v>
      </c>
      <c r="Y106" s="169" t="s">
        <v>223</v>
      </c>
      <c r="Z106" s="196" t="str">
        <f t="shared" ca="1" si="8"/>
        <v>Falta informacion</v>
      </c>
      <c r="AA106" s="173"/>
      <c r="AB106" s="173"/>
      <c r="AC106" s="157" t="str">
        <f>IFERROR(IF(OR(AA106="-",AA106="",AB106="-",AB106=""),"-",CONCATENATE('Seguimiento OIT'!AB106-'Seguimiento OIT'!AA106+1," dias")),"-")</f>
        <v>-</v>
      </c>
      <c r="AD106" s="114" t="str">
        <f t="shared" ca="1" si="14"/>
        <v>-</v>
      </c>
      <c r="AE106" s="63" t="s">
        <v>43</v>
      </c>
      <c r="AF106" s="82" t="s">
        <v>833</v>
      </c>
      <c r="AG106" s="140" t="s">
        <v>841</v>
      </c>
      <c r="AH106" s="218" t="s">
        <v>44</v>
      </c>
      <c r="AI106" s="219" t="str">
        <f t="shared" si="9"/>
        <v>-</v>
      </c>
      <c r="AJ106" s="219" t="str">
        <f t="shared" si="10"/>
        <v>-</v>
      </c>
      <c r="AK106" s="219" t="str">
        <f t="shared" si="11"/>
        <v>-</v>
      </c>
      <c r="AL106" s="225" t="str">
        <f t="shared" si="12"/>
        <v>-</v>
      </c>
    </row>
    <row r="107" spans="1:38" ht="49.5" customHeight="1">
      <c r="A107" s="98" t="s">
        <v>842</v>
      </c>
      <c r="B107" s="37" t="str">
        <f t="shared" ca="1" si="7"/>
        <v>SI</v>
      </c>
      <c r="C107" s="165" t="s">
        <v>43</v>
      </c>
      <c r="D107" s="61">
        <v>2026</v>
      </c>
      <c r="E107" s="61" t="s">
        <v>43</v>
      </c>
      <c r="F107" s="61" t="s">
        <v>46</v>
      </c>
      <c r="G107" s="167" t="s">
        <v>69</v>
      </c>
      <c r="H107" s="60" t="s">
        <v>843</v>
      </c>
      <c r="I107" s="83" t="s">
        <v>844</v>
      </c>
      <c r="J107" s="60" t="s">
        <v>845</v>
      </c>
      <c r="K107" s="62" t="s">
        <v>222</v>
      </c>
      <c r="L107" s="63" t="s">
        <v>223</v>
      </c>
      <c r="M107" s="63" t="s">
        <v>223</v>
      </c>
      <c r="N107" s="63" t="s">
        <v>437</v>
      </c>
      <c r="O107" s="81" t="s">
        <v>280</v>
      </c>
      <c r="P107" s="120">
        <v>46188</v>
      </c>
      <c r="Q107" s="116" t="s">
        <v>476</v>
      </c>
      <c r="R107" s="159" t="s">
        <v>470</v>
      </c>
      <c r="S107" s="152">
        <v>46225</v>
      </c>
      <c r="T107" s="68">
        <f ca="1">IFERROR(IF(OR(Q107="Ejecutado",Q107="No corresponde atención OGTI",Q107="Desistido",Q107="-",Q107="Para reformulación"),"-",IF(OR(S107="-",S107=""),"Falta fecha_estado",NETWORKDAYS(S107,TODAY(),{"02/04/2026";"03/04/2026";"30/06/2026"}))),"-")</f>
        <v>8</v>
      </c>
      <c r="U107" s="69" t="s">
        <v>43</v>
      </c>
      <c r="V107" s="155" t="s">
        <v>43</v>
      </c>
      <c r="W107" s="62" t="s">
        <v>43</v>
      </c>
      <c r="X107" s="152" t="s">
        <v>43</v>
      </c>
      <c r="Y107" s="169" t="s">
        <v>43</v>
      </c>
      <c r="Z107" s="196" t="str">
        <f t="shared" ca="1" si="8"/>
        <v>En tramite</v>
      </c>
      <c r="AA107" s="173" t="s">
        <v>43</v>
      </c>
      <c r="AB107" s="74" t="s">
        <v>43</v>
      </c>
      <c r="AC107" s="157" t="str">
        <f>IFERROR(IF(OR(AA107="-",AA107="",AB107="-",AB107=""),"-",CONCATENATE('Seguimiento OIT'!AB107-'Seguimiento OIT'!AA107+1," dias")),"-")</f>
        <v>-</v>
      </c>
      <c r="AD107" s="114" t="str">
        <f t="shared" ca="1" si="14"/>
        <v>-</v>
      </c>
      <c r="AE107" s="63" t="s">
        <v>846</v>
      </c>
      <c r="AF107" s="82" t="s">
        <v>43</v>
      </c>
      <c r="AG107" s="140" t="s">
        <v>847</v>
      </c>
      <c r="AH107" s="218" t="s">
        <v>44</v>
      </c>
      <c r="AI107" s="219" t="str">
        <f t="shared" si="9"/>
        <v>-</v>
      </c>
      <c r="AJ107" s="219" t="str">
        <f t="shared" si="10"/>
        <v>-</v>
      </c>
      <c r="AK107" s="219" t="str">
        <f t="shared" si="11"/>
        <v>-</v>
      </c>
      <c r="AL107" s="225" t="str">
        <f t="shared" si="12"/>
        <v>-</v>
      </c>
    </row>
    <row r="108" spans="1:38" ht="44.1" customHeight="1">
      <c r="A108" s="98" t="s">
        <v>848</v>
      </c>
      <c r="B108" s="37" t="str">
        <f t="shared" ca="1" si="7"/>
        <v>SI</v>
      </c>
      <c r="C108" s="165" t="s">
        <v>43</v>
      </c>
      <c r="D108" s="61" t="s">
        <v>44</v>
      </c>
      <c r="E108" s="61" t="s">
        <v>349</v>
      </c>
      <c r="F108" s="61" t="s">
        <v>61</v>
      </c>
      <c r="G108" s="167" t="s">
        <v>69</v>
      </c>
      <c r="H108" s="60" t="s">
        <v>849</v>
      </c>
      <c r="I108" s="62"/>
      <c r="J108" s="60" t="s">
        <v>845</v>
      </c>
      <c r="K108" s="62" t="s">
        <v>222</v>
      </c>
      <c r="L108" s="63" t="s">
        <v>223</v>
      </c>
      <c r="M108" s="63" t="s">
        <v>223</v>
      </c>
      <c r="N108" s="63" t="s">
        <v>437</v>
      </c>
      <c r="O108" s="64">
        <v>1554990.56</v>
      </c>
      <c r="P108" s="120"/>
      <c r="Q108" s="116" t="s">
        <v>306</v>
      </c>
      <c r="R108" s="159" t="s">
        <v>482</v>
      </c>
      <c r="S108" s="152">
        <v>45624</v>
      </c>
      <c r="T108" s="68">
        <f ca="1">IFERROR(IF(OR(Q108="Ejecutado",Q108="No corresponde atención OGTI",Q108="Desistido",Q108="-",Q108="Para reformulación"),"-",IF(OR(S108="-",S108=""),"Falta fecha_estado",NETWORKDAYS(S108,TODAY(),{"02/04/2026";"03/04/2026";"30/06/2026"}))),"-")</f>
        <v>434</v>
      </c>
      <c r="U108" s="69" t="s">
        <v>224</v>
      </c>
      <c r="V108" s="155" t="s">
        <v>850</v>
      </c>
      <c r="W108" s="62">
        <v>45576</v>
      </c>
      <c r="X108" s="152" t="s">
        <v>851</v>
      </c>
      <c r="Y108" s="169" t="s">
        <v>223</v>
      </c>
      <c r="Z108" s="196" t="str">
        <f t="shared" ca="1" si="8"/>
        <v>Proceso de implementación/Activación/Entrega</v>
      </c>
      <c r="AA108" s="173">
        <v>45624</v>
      </c>
      <c r="AB108" s="74">
        <v>46353</v>
      </c>
      <c r="AC108" s="157" t="str">
        <f>IFERROR(IF(OR(AA108="-",AA108="",AB108="-",AB108=""),"-",CONCATENATE('Seguimiento OIT'!AB108-'Seguimiento OIT'!AA108+1," dias")),"-")</f>
        <v>730 dias</v>
      </c>
      <c r="AD108" s="114" t="str">
        <f t="shared" ca="1" si="14"/>
        <v>-</v>
      </c>
      <c r="AE108" s="63" t="s">
        <v>43</v>
      </c>
      <c r="AF108" s="82" t="s">
        <v>43</v>
      </c>
      <c r="AG108" s="140" t="s">
        <v>852</v>
      </c>
      <c r="AH108" s="218" t="s">
        <v>44</v>
      </c>
      <c r="AI108" s="219" t="str">
        <f t="shared" si="9"/>
        <v>-</v>
      </c>
      <c r="AJ108" s="219" t="str">
        <f t="shared" si="10"/>
        <v>-</v>
      </c>
      <c r="AK108" s="219" t="str">
        <f t="shared" si="11"/>
        <v>-</v>
      </c>
      <c r="AL108" s="225" t="str">
        <f t="shared" si="12"/>
        <v>-</v>
      </c>
    </row>
    <row r="109" spans="1:38" ht="44.1" customHeight="1">
      <c r="A109" s="98" t="s">
        <v>853</v>
      </c>
      <c r="B109" s="37" t="str">
        <f t="shared" ca="1" si="7"/>
        <v>NO</v>
      </c>
      <c r="C109" s="165" t="s">
        <v>43</v>
      </c>
      <c r="D109" s="61" t="s">
        <v>44</v>
      </c>
      <c r="E109" s="61" t="s">
        <v>45</v>
      </c>
      <c r="F109" s="61" t="s">
        <v>61</v>
      </c>
      <c r="G109" s="167" t="s">
        <v>69</v>
      </c>
      <c r="H109" s="60" t="s">
        <v>380</v>
      </c>
      <c r="I109" s="62" t="s">
        <v>854</v>
      </c>
      <c r="J109" s="60" t="s">
        <v>855</v>
      </c>
      <c r="K109" s="62" t="s">
        <v>222</v>
      </c>
      <c r="L109" s="63" t="s">
        <v>223</v>
      </c>
      <c r="M109" s="63" t="s">
        <v>223</v>
      </c>
      <c r="N109" s="63" t="s">
        <v>196</v>
      </c>
      <c r="O109" s="64">
        <v>43966.8</v>
      </c>
      <c r="P109" s="120">
        <v>46107</v>
      </c>
      <c r="Q109" s="116" t="s">
        <v>54</v>
      </c>
      <c r="R109" s="159" t="s">
        <v>43</v>
      </c>
      <c r="S109" s="152"/>
      <c r="T109" s="68" t="str">
        <f ca="1">IFERROR(IF(OR(Q109="Ejecutado",Q109="No corresponde atención OGTI",Q109="Desistido",Q109="-",Q109="Para reformulación"),"-",IF(OR(S109="-",S109=""),"Falta fecha_estado",NETWORKDAYS(S109,TODAY(),{"02/04/2026";"03/04/2026";"30/06/2026"}))),"-")</f>
        <v>-</v>
      </c>
      <c r="U109" s="69" t="s">
        <v>77</v>
      </c>
      <c r="V109" s="155" t="s">
        <v>383</v>
      </c>
      <c r="W109" s="62">
        <v>46127</v>
      </c>
      <c r="X109" s="152" t="s">
        <v>384</v>
      </c>
      <c r="Y109" s="169" t="s">
        <v>223</v>
      </c>
      <c r="Z109" s="196" t="str">
        <f t="shared" ca="1" si="8"/>
        <v>Culminado</v>
      </c>
      <c r="AA109" s="173">
        <v>46133</v>
      </c>
      <c r="AB109" s="74">
        <v>46223</v>
      </c>
      <c r="AC109" s="157" t="str">
        <f>IFERROR(IF(OR(AA109="-",AA109="",AB109="-",AB109=""),"-",CONCATENATE('Seguimiento OIT'!AB109-'Seguimiento OIT'!AA109+1," dias")),"-")</f>
        <v>91 dias</v>
      </c>
      <c r="AD109" s="114" t="str">
        <f t="shared" ca="1" si="14"/>
        <v>-</v>
      </c>
      <c r="AE109" s="63" t="s">
        <v>43</v>
      </c>
      <c r="AF109" s="82" t="s">
        <v>856</v>
      </c>
      <c r="AG109" s="140" t="s">
        <v>857</v>
      </c>
      <c r="AH109" s="218" t="s">
        <v>44</v>
      </c>
      <c r="AI109" s="219" t="str">
        <f t="shared" si="9"/>
        <v>-</v>
      </c>
      <c r="AJ109" s="219" t="str">
        <f t="shared" si="10"/>
        <v>-</v>
      </c>
      <c r="AK109" s="219" t="str">
        <f t="shared" si="11"/>
        <v>-</v>
      </c>
      <c r="AL109" s="225" t="str">
        <f t="shared" si="12"/>
        <v>-</v>
      </c>
    </row>
    <row r="110" spans="1:38" ht="57" customHeight="1">
      <c r="A110" s="98" t="s">
        <v>858</v>
      </c>
      <c r="B110" s="37" t="str">
        <f t="shared" ca="1" si="7"/>
        <v>SI</v>
      </c>
      <c r="C110" s="165" t="s">
        <v>859</v>
      </c>
      <c r="D110" s="61" t="s">
        <v>44</v>
      </c>
      <c r="E110" s="61" t="s">
        <v>349</v>
      </c>
      <c r="F110" s="61" t="s">
        <v>46</v>
      </c>
      <c r="G110" s="167" t="s">
        <v>69</v>
      </c>
      <c r="H110" s="60" t="s">
        <v>860</v>
      </c>
      <c r="I110" s="62" t="s">
        <v>861</v>
      </c>
      <c r="J110" s="60" t="s">
        <v>862</v>
      </c>
      <c r="K110" s="62" t="s">
        <v>222</v>
      </c>
      <c r="L110" s="63" t="s">
        <v>223</v>
      </c>
      <c r="M110" s="63" t="s">
        <v>223</v>
      </c>
      <c r="N110" s="63" t="s">
        <v>437</v>
      </c>
      <c r="O110" s="64">
        <v>295457</v>
      </c>
      <c r="P110" s="120">
        <v>45756</v>
      </c>
      <c r="Q110" s="116" t="s">
        <v>54</v>
      </c>
      <c r="R110" s="159" t="s">
        <v>43</v>
      </c>
      <c r="S110" s="152"/>
      <c r="T110" s="68" t="str">
        <f ca="1">IFERROR(IF(OR(Q110="Ejecutado",Q110="No corresponde atención OGTI",Q110="Desistido",Q110="-",Q110="Para reformulación"),"-",IF(OR(S110="-",S110=""),"Falta fecha_estado",NETWORKDAYS(S110,TODAY(),{"02/04/2026";"03/04/2026";"30/06/2026"}))),"-")</f>
        <v>-</v>
      </c>
      <c r="U110" s="69" t="s">
        <v>224</v>
      </c>
      <c r="V110" s="155" t="s">
        <v>863</v>
      </c>
      <c r="W110" s="62">
        <v>46097</v>
      </c>
      <c r="X110" s="152" t="s">
        <v>864</v>
      </c>
      <c r="Y110" s="169" t="s">
        <v>223</v>
      </c>
      <c r="Z110" s="196" t="str">
        <f t="shared" ca="1" si="8"/>
        <v>Vigente</v>
      </c>
      <c r="AA110" s="173">
        <v>46098</v>
      </c>
      <c r="AB110" s="74">
        <v>47240</v>
      </c>
      <c r="AC110" s="157" t="str">
        <f>IFERROR(IF(OR(AA110="-",AA110="",AB110="-",AB110=""),"-",CONCATENATE('Seguimiento OIT'!AB110-'Seguimiento OIT'!AA110+1," dias")),"-")</f>
        <v>1143 dias</v>
      </c>
      <c r="AD110" s="114" t="str">
        <f t="shared" ca="1" si="14"/>
        <v>-</v>
      </c>
      <c r="AE110" s="63" t="s">
        <v>43</v>
      </c>
      <c r="AF110" s="82" t="s">
        <v>43</v>
      </c>
      <c r="AG110" s="140" t="s">
        <v>865</v>
      </c>
      <c r="AH110" s="218" t="s">
        <v>44</v>
      </c>
      <c r="AI110" s="219" t="str">
        <f t="shared" si="9"/>
        <v>-</v>
      </c>
      <c r="AJ110" s="219" t="str">
        <f t="shared" si="10"/>
        <v>-</v>
      </c>
      <c r="AK110" s="219" t="str">
        <f t="shared" si="11"/>
        <v>-</v>
      </c>
      <c r="AL110" s="225" t="str">
        <f t="shared" si="12"/>
        <v>-</v>
      </c>
    </row>
    <row r="111" spans="1:38" ht="44.1" customHeight="1">
      <c r="A111" s="98" t="s">
        <v>866</v>
      </c>
      <c r="B111" s="37" t="str">
        <f t="shared" ca="1" si="7"/>
        <v>SI</v>
      </c>
      <c r="C111" s="165" t="s">
        <v>43</v>
      </c>
      <c r="D111" s="61" t="s">
        <v>44</v>
      </c>
      <c r="E111" s="61" t="s">
        <v>349</v>
      </c>
      <c r="F111" s="61" t="s">
        <v>61</v>
      </c>
      <c r="G111" s="167" t="s">
        <v>69</v>
      </c>
      <c r="H111" s="60" t="s">
        <v>867</v>
      </c>
      <c r="I111" s="62" t="s">
        <v>868</v>
      </c>
      <c r="J111" s="60" t="s">
        <v>869</v>
      </c>
      <c r="K111" s="62" t="s">
        <v>119</v>
      </c>
      <c r="L111" s="63" t="s">
        <v>43</v>
      </c>
      <c r="M111" s="63" t="s">
        <v>120</v>
      </c>
      <c r="N111" s="63" t="s">
        <v>102</v>
      </c>
      <c r="O111" s="81" t="s">
        <v>280</v>
      </c>
      <c r="P111" s="120">
        <v>46192</v>
      </c>
      <c r="Q111" s="116" t="s">
        <v>430</v>
      </c>
      <c r="R111" s="159" t="s">
        <v>423</v>
      </c>
      <c r="S111" s="152">
        <v>46212</v>
      </c>
      <c r="T111" s="68">
        <f ca="1">IFERROR(IF(OR(Q111="Ejecutado",Q111="No corresponde atención OGTI",Q111="Desistido",Q111="-",Q111="Para reformulación"),"-",IF(OR(S111="-",S111=""),"Falta fecha_estado",NETWORKDAYS(S111,TODAY(),{"02/04/2026";"03/04/2026";"30/06/2026"}))),"-")</f>
        <v>17</v>
      </c>
      <c r="U111" s="69" t="s">
        <v>43</v>
      </c>
      <c r="V111" s="155" t="s">
        <v>43</v>
      </c>
      <c r="W111" s="62" t="s">
        <v>43</v>
      </c>
      <c r="X111" s="152" t="s">
        <v>43</v>
      </c>
      <c r="Y111" s="169" t="s">
        <v>43</v>
      </c>
      <c r="Z111" s="196" t="str">
        <f t="shared" ca="1" si="8"/>
        <v>En tramite</v>
      </c>
      <c r="AA111" s="173" t="s">
        <v>43</v>
      </c>
      <c r="AB111" s="74" t="s">
        <v>43</v>
      </c>
      <c r="AC111" s="157" t="str">
        <f>IFERROR(IF(OR(AA111="-",AA111="",AB111="-",AB111=""),"-",CONCATENATE('Seguimiento OIT'!AB111-'Seguimiento OIT'!AA111+1," dias")),"-")</f>
        <v>-</v>
      </c>
      <c r="AD111" s="114" t="str">
        <f t="shared" ca="1" si="14"/>
        <v>-</v>
      </c>
      <c r="AE111" s="63" t="s">
        <v>43</v>
      </c>
      <c r="AF111" s="82" t="s">
        <v>870</v>
      </c>
      <c r="AG111" s="140" t="s">
        <v>871</v>
      </c>
      <c r="AH111" s="218" t="s">
        <v>44</v>
      </c>
      <c r="AI111" s="219" t="str">
        <f t="shared" si="9"/>
        <v>-</v>
      </c>
      <c r="AJ111" s="219" t="str">
        <f t="shared" si="10"/>
        <v>-</v>
      </c>
      <c r="AK111" s="219" t="str">
        <f t="shared" si="11"/>
        <v>-</v>
      </c>
      <c r="AL111" s="225" t="str">
        <f t="shared" si="12"/>
        <v>-</v>
      </c>
    </row>
    <row r="112" spans="1:38" ht="44.1" customHeight="1">
      <c r="A112" s="97" t="s">
        <v>872</v>
      </c>
      <c r="B112" s="37" t="str">
        <f t="shared" ca="1" si="7"/>
        <v>NO</v>
      </c>
      <c r="C112" s="166" t="s">
        <v>43</v>
      </c>
      <c r="D112" s="61" t="s">
        <v>44</v>
      </c>
      <c r="E112" s="88" t="s">
        <v>45</v>
      </c>
      <c r="F112" s="88" t="s">
        <v>228</v>
      </c>
      <c r="G112" s="168" t="s">
        <v>47</v>
      </c>
      <c r="H112" s="84" t="s">
        <v>873</v>
      </c>
      <c r="I112" s="83" t="s">
        <v>874</v>
      </c>
      <c r="J112" s="84" t="s">
        <v>93</v>
      </c>
      <c r="K112" s="83" t="s">
        <v>73</v>
      </c>
      <c r="L112" s="80" t="s">
        <v>74</v>
      </c>
      <c r="M112" s="80" t="s">
        <v>75</v>
      </c>
      <c r="N112" s="80" t="s">
        <v>875</v>
      </c>
      <c r="O112" s="81" t="s">
        <v>280</v>
      </c>
      <c r="P112" s="122">
        <v>46206</v>
      </c>
      <c r="Q112" s="117" t="s">
        <v>314</v>
      </c>
      <c r="R112" s="132" t="s">
        <v>270</v>
      </c>
      <c r="S112" s="153">
        <v>46212</v>
      </c>
      <c r="T112" s="68" t="str">
        <f ca="1">IFERROR(IF(OR(Q112="Ejecutado",Q112="No corresponde atención OGTI",Q112="Desistido",Q112="-",Q112="Para reformulación"),"-",IF(OR(S112="-",S112=""),"Falta fecha_estado",NETWORKDAYS(S112,TODAY(),{"02/04/2026";"03/04/2026";"30/06/2026"}))),"-")</f>
        <v>-</v>
      </c>
      <c r="U112" s="78" t="s">
        <v>43</v>
      </c>
      <c r="V112" s="155" t="s">
        <v>43</v>
      </c>
      <c r="W112" s="62" t="s">
        <v>43</v>
      </c>
      <c r="X112" s="152" t="s">
        <v>43</v>
      </c>
      <c r="Y112" s="171" t="s">
        <v>43</v>
      </c>
      <c r="Z112" s="196" t="str">
        <f t="shared" ca="1" si="8"/>
        <v>Desistido</v>
      </c>
      <c r="AA112" s="173" t="s">
        <v>43</v>
      </c>
      <c r="AB112" s="74" t="s">
        <v>43</v>
      </c>
      <c r="AC112" s="157" t="str">
        <f>IFERROR(IF(OR(AA112="-",AA112="",AB112="-",AB112=""),"-",CONCATENATE('Seguimiento OIT'!AB112-'Seguimiento OIT'!AA112+1," dias")),"-")</f>
        <v>-</v>
      </c>
      <c r="AD112" s="114" t="str">
        <f t="shared" ref="AD112:AD131" ca="1" si="15">IFERROR(IF(Z112="Vencido",(TODAY()-AB112)+1,"-"),"-")</f>
        <v>-</v>
      </c>
      <c r="AE112" s="80" t="s">
        <v>43</v>
      </c>
      <c r="AF112" s="213" t="s">
        <v>876</v>
      </c>
      <c r="AG112" s="140" t="s">
        <v>877</v>
      </c>
      <c r="AH112" s="218" t="s">
        <v>44</v>
      </c>
      <c r="AI112" s="219" t="str">
        <f t="shared" si="9"/>
        <v>-</v>
      </c>
      <c r="AJ112" s="219" t="str">
        <f t="shared" si="10"/>
        <v>-</v>
      </c>
      <c r="AK112" s="219" t="str">
        <f t="shared" si="11"/>
        <v>-</v>
      </c>
      <c r="AL112" s="225" t="str">
        <f t="shared" si="12"/>
        <v>-</v>
      </c>
    </row>
    <row r="113" spans="1:39" ht="76.5" customHeight="1">
      <c r="A113" s="99" t="s">
        <v>878</v>
      </c>
      <c r="B113" s="37" t="str">
        <f t="shared" ca="1" si="7"/>
        <v>SI</v>
      </c>
      <c r="C113" s="166" t="s">
        <v>43</v>
      </c>
      <c r="D113" s="61" t="s">
        <v>44</v>
      </c>
      <c r="E113" s="88" t="s">
        <v>349</v>
      </c>
      <c r="F113" s="88" t="s">
        <v>46</v>
      </c>
      <c r="G113" s="168" t="s">
        <v>69</v>
      </c>
      <c r="H113" s="84" t="s">
        <v>879</v>
      </c>
      <c r="I113" s="83" t="s">
        <v>880</v>
      </c>
      <c r="J113" s="84" t="s">
        <v>881</v>
      </c>
      <c r="K113" s="83" t="s">
        <v>222</v>
      </c>
      <c r="L113" s="80" t="s">
        <v>43</v>
      </c>
      <c r="M113" s="80" t="s">
        <v>223</v>
      </c>
      <c r="N113" s="80" t="s">
        <v>43</v>
      </c>
      <c r="O113" s="81">
        <v>23137.439999999999</v>
      </c>
      <c r="P113" s="122">
        <v>46153</v>
      </c>
      <c r="Q113" s="212" t="s">
        <v>882</v>
      </c>
      <c r="R113" s="132" t="s">
        <v>43</v>
      </c>
      <c r="S113" s="153">
        <v>46224</v>
      </c>
      <c r="T113" s="68">
        <f ca="1">IFERROR(IF(OR(Q113="Ejecutado",Q113="No corresponde atención OGTI",Q113="Desistido",Q113="-",Q113="Para reformulación"),"-",IF(OR(S113="-",S113=""),"Falta fecha_estado",NETWORKDAYS(S113,TODAY(),{"02/04/2026";"03/04/2026";"30/06/2026"}))),"-")</f>
        <v>9</v>
      </c>
      <c r="U113" s="78" t="s">
        <v>224</v>
      </c>
      <c r="V113" s="155" t="s">
        <v>883</v>
      </c>
      <c r="W113" s="62">
        <v>46216</v>
      </c>
      <c r="X113" s="152" t="s">
        <v>884</v>
      </c>
      <c r="Y113" s="171" t="s">
        <v>223</v>
      </c>
      <c r="Z113" s="196" t="str">
        <f t="shared" ca="1" si="8"/>
        <v>En tramite</v>
      </c>
      <c r="AA113" s="173" t="s">
        <v>43</v>
      </c>
      <c r="AB113" s="74" t="s">
        <v>43</v>
      </c>
      <c r="AC113" s="157" t="str">
        <f>IFERROR(IF(OR(AA113="-",AA113="",AB113="-",AB113=""),"-",CONCATENATE('Seguimiento OIT'!AB113-'Seguimiento OIT'!AA113+1," dias")),"-")</f>
        <v>-</v>
      </c>
      <c r="AD113" s="114" t="str">
        <f t="shared" ca="1" si="15"/>
        <v>-</v>
      </c>
      <c r="AE113" s="80" t="s">
        <v>43</v>
      </c>
      <c r="AF113" s="82" t="s">
        <v>885</v>
      </c>
      <c r="AG113" s="140" t="s">
        <v>886</v>
      </c>
      <c r="AH113" s="218" t="s">
        <v>43</v>
      </c>
      <c r="AI113" s="219" t="str">
        <f t="shared" si="9"/>
        <v>-</v>
      </c>
      <c r="AJ113" s="219" t="str">
        <f t="shared" si="10"/>
        <v>-</v>
      </c>
      <c r="AK113" s="219" t="str">
        <f t="shared" si="11"/>
        <v>-</v>
      </c>
      <c r="AL113" s="225" t="str">
        <f t="shared" si="12"/>
        <v>-</v>
      </c>
    </row>
    <row r="114" spans="1:39" ht="67.5" customHeight="1">
      <c r="A114" s="99" t="s">
        <v>887</v>
      </c>
      <c r="B114" s="37" t="str">
        <f t="shared" ca="1" si="7"/>
        <v>SI</v>
      </c>
      <c r="C114" s="166" t="s">
        <v>43</v>
      </c>
      <c r="D114" s="61" t="s">
        <v>44</v>
      </c>
      <c r="E114" s="88" t="s">
        <v>45</v>
      </c>
      <c r="F114" s="88" t="s">
        <v>433</v>
      </c>
      <c r="G114" s="168" t="s">
        <v>69</v>
      </c>
      <c r="H114" s="84" t="s">
        <v>888</v>
      </c>
      <c r="I114" s="83" t="s">
        <v>889</v>
      </c>
      <c r="J114" s="84" t="s">
        <v>890</v>
      </c>
      <c r="K114" s="83" t="s">
        <v>222</v>
      </c>
      <c r="L114" s="80" t="s">
        <v>43</v>
      </c>
      <c r="M114" s="80" t="s">
        <v>223</v>
      </c>
      <c r="N114" s="80" t="s">
        <v>43</v>
      </c>
      <c r="O114" s="81">
        <v>31037.15</v>
      </c>
      <c r="P114" s="122">
        <v>46085</v>
      </c>
      <c r="Q114" s="117" t="s">
        <v>54</v>
      </c>
      <c r="R114" s="132" t="s">
        <v>43</v>
      </c>
      <c r="S114" s="153"/>
      <c r="T114" s="68" t="str">
        <f ca="1">IFERROR(IF(OR(Q114="Ejecutado",Q114="No corresponde atención OGTI",Q114="Desistido",Q114="-",Q114="Para reformulación"),"-",IF(OR(S114="-",S114=""),"Falta fecha_estado",NETWORKDAYS(S114,TODAY(),{"02/04/2026";"03/04/2026";"30/06/2026"}))),"-")</f>
        <v>-</v>
      </c>
      <c r="U114" s="78" t="s">
        <v>224</v>
      </c>
      <c r="V114" s="155" t="s">
        <v>891</v>
      </c>
      <c r="W114" s="62">
        <v>46142</v>
      </c>
      <c r="X114" s="152" t="s">
        <v>892</v>
      </c>
      <c r="Y114" s="171" t="s">
        <v>223</v>
      </c>
      <c r="Z114" s="196" t="str">
        <f t="shared" ca="1" si="8"/>
        <v>Vigente_por vencer</v>
      </c>
      <c r="AA114" s="173">
        <v>46146</v>
      </c>
      <c r="AB114" s="74">
        <v>46269</v>
      </c>
      <c r="AC114" s="157" t="str">
        <f>IFERROR(IF(OR(AA114="-",AA114="",AB114="-",AB114=""),"-",CONCATENATE('Seguimiento OIT'!AB114-'Seguimiento OIT'!AA114+1," dias")),"-")</f>
        <v>124 dias</v>
      </c>
      <c r="AD114" s="114" t="str">
        <f t="shared" ca="1" si="15"/>
        <v>-</v>
      </c>
      <c r="AE114" s="80" t="s">
        <v>43</v>
      </c>
      <c r="AF114" s="82" t="s">
        <v>893</v>
      </c>
      <c r="AG114" s="140" t="s">
        <v>894</v>
      </c>
      <c r="AH114" s="218" t="s">
        <v>43</v>
      </c>
      <c r="AI114" s="219" t="str">
        <f t="shared" si="9"/>
        <v>-</v>
      </c>
      <c r="AJ114" s="219" t="str">
        <f t="shared" si="10"/>
        <v>-</v>
      </c>
      <c r="AK114" s="219" t="str">
        <f t="shared" si="11"/>
        <v>-</v>
      </c>
      <c r="AL114" s="225" t="str">
        <f t="shared" si="12"/>
        <v>-</v>
      </c>
    </row>
    <row r="115" spans="1:39" ht="54" customHeight="1">
      <c r="A115" s="99" t="s">
        <v>859</v>
      </c>
      <c r="B115" s="37" t="str">
        <f t="shared" ca="1" si="7"/>
        <v>SI</v>
      </c>
      <c r="C115" s="165" t="s">
        <v>858</v>
      </c>
      <c r="D115" s="61" t="s">
        <v>44</v>
      </c>
      <c r="E115" s="88" t="s">
        <v>349</v>
      </c>
      <c r="F115" s="88" t="s">
        <v>46</v>
      </c>
      <c r="G115" s="168" t="s">
        <v>69</v>
      </c>
      <c r="H115" s="84" t="s">
        <v>895</v>
      </c>
      <c r="I115" s="83" t="s">
        <v>861</v>
      </c>
      <c r="J115" s="84" t="s">
        <v>896</v>
      </c>
      <c r="K115" s="83" t="s">
        <v>222</v>
      </c>
      <c r="L115" s="80" t="s">
        <v>43</v>
      </c>
      <c r="M115" s="80" t="s">
        <v>223</v>
      </c>
      <c r="N115" s="80" t="s">
        <v>43</v>
      </c>
      <c r="O115" s="81">
        <v>4976058.93</v>
      </c>
      <c r="P115" s="122">
        <v>45756</v>
      </c>
      <c r="Q115" s="117" t="s">
        <v>54</v>
      </c>
      <c r="R115" s="132" t="s">
        <v>43</v>
      </c>
      <c r="S115" s="153"/>
      <c r="T115" s="68" t="str">
        <f ca="1">IFERROR(IF(OR(Q115="Ejecutado",Q115="No corresponde atención OGTI",Q115="Desistido",Q115="-",Q115="Para reformulación"),"-",IF(OR(S115="-",S115=""),"Falta fecha_estado",NETWORKDAYS(S115,TODAY(),{"02/04/2026";"03/04/2026";"30/06/2026"}))),"-")</f>
        <v>-</v>
      </c>
      <c r="U115" s="78" t="s">
        <v>224</v>
      </c>
      <c r="V115" s="155" t="s">
        <v>897</v>
      </c>
      <c r="W115" s="62">
        <v>46066</v>
      </c>
      <c r="X115" s="152" t="s">
        <v>189</v>
      </c>
      <c r="Y115" s="171" t="s">
        <v>223</v>
      </c>
      <c r="Z115" s="196" t="str">
        <f t="shared" ca="1" si="8"/>
        <v>Vigente</v>
      </c>
      <c r="AA115" s="173">
        <v>46156</v>
      </c>
      <c r="AB115" s="74">
        <v>47251</v>
      </c>
      <c r="AC115" s="157" t="str">
        <f>IFERROR(IF(OR(AA115="-",AA115="",AB115="-",AB115=""),"-",CONCATENATE('Seguimiento OIT'!AB115-'Seguimiento OIT'!AA115+1," dias")),"-")</f>
        <v>1096 dias</v>
      </c>
      <c r="AD115" s="114" t="str">
        <f t="shared" ca="1" si="15"/>
        <v>-</v>
      </c>
      <c r="AE115" s="80" t="s">
        <v>43</v>
      </c>
      <c r="AF115" s="82" t="s">
        <v>43</v>
      </c>
      <c r="AG115" s="146" t="s">
        <v>898</v>
      </c>
      <c r="AH115" s="218" t="s">
        <v>797</v>
      </c>
      <c r="AI115" s="219" t="str">
        <f t="shared" si="9"/>
        <v>Ejecutado</v>
      </c>
      <c r="AJ115" s="219" t="str">
        <f t="shared" si="10"/>
        <v>078318-2025 (Requerimiento)</v>
      </c>
      <c r="AK115" s="219">
        <f t="shared" si="11"/>
        <v>46098</v>
      </c>
      <c r="AL115" s="225">
        <f t="shared" si="12"/>
        <v>47240</v>
      </c>
    </row>
    <row r="116" spans="1:39" ht="66" customHeight="1">
      <c r="A116" s="99" t="s">
        <v>899</v>
      </c>
      <c r="B116" s="37" t="str">
        <f t="shared" ca="1" si="7"/>
        <v>SI</v>
      </c>
      <c r="C116" s="166" t="s">
        <v>43</v>
      </c>
      <c r="D116" s="61" t="s">
        <v>44</v>
      </c>
      <c r="E116" s="88" t="s">
        <v>349</v>
      </c>
      <c r="F116" s="88" t="s">
        <v>61</v>
      </c>
      <c r="G116" s="168" t="s">
        <v>69</v>
      </c>
      <c r="H116" s="84" t="s">
        <v>900</v>
      </c>
      <c r="I116" s="83"/>
      <c r="J116" s="84" t="s">
        <v>901</v>
      </c>
      <c r="K116" s="83" t="s">
        <v>222</v>
      </c>
      <c r="L116" s="80" t="s">
        <v>43</v>
      </c>
      <c r="M116" s="80" t="s">
        <v>223</v>
      </c>
      <c r="N116" s="80" t="s">
        <v>43</v>
      </c>
      <c r="O116" s="81">
        <v>31860</v>
      </c>
      <c r="P116" s="122"/>
      <c r="Q116" s="117" t="s">
        <v>54</v>
      </c>
      <c r="R116" s="132" t="s">
        <v>43</v>
      </c>
      <c r="S116" s="153"/>
      <c r="T116" s="68" t="str">
        <f ca="1">IFERROR(IF(OR(Q116="Ejecutado",Q116="No corresponde atención OGTI",Q116="Desistido",Q116="-",Q116="Para reformulación"),"-",IF(OR(S116="-",S116=""),"Falta fecha_estado",NETWORKDAYS(S116,TODAY(),{"02/04/2026";"03/04/2026";"30/06/2026"}))),"-")</f>
        <v>-</v>
      </c>
      <c r="U116" s="78" t="s">
        <v>224</v>
      </c>
      <c r="V116" s="155" t="s">
        <v>902</v>
      </c>
      <c r="W116" s="62">
        <v>45386</v>
      </c>
      <c r="X116" s="152" t="s">
        <v>498</v>
      </c>
      <c r="Y116" s="171" t="s">
        <v>223</v>
      </c>
      <c r="Z116" s="196" t="str">
        <f t="shared" ca="1" si="8"/>
        <v>Vigente</v>
      </c>
      <c r="AA116" s="173">
        <v>45436</v>
      </c>
      <c r="AB116" s="74">
        <v>46530</v>
      </c>
      <c r="AC116" s="157" t="str">
        <f>IFERROR(IF(OR(AA116="-",AA116="",AB116="-",AB116=""),"-",CONCATENATE('Seguimiento OIT'!AB116-'Seguimiento OIT'!AA116+1," dias")),"-")</f>
        <v>1095 dias</v>
      </c>
      <c r="AD116" s="114" t="str">
        <f t="shared" ca="1" si="15"/>
        <v>-</v>
      </c>
      <c r="AE116" s="80" t="s">
        <v>43</v>
      </c>
      <c r="AF116" s="82" t="s">
        <v>43</v>
      </c>
      <c r="AG116" s="140" t="s">
        <v>903</v>
      </c>
      <c r="AH116" s="218" t="s">
        <v>43</v>
      </c>
      <c r="AI116" s="219" t="str">
        <f t="shared" si="9"/>
        <v>-</v>
      </c>
      <c r="AJ116" s="219" t="str">
        <f t="shared" si="10"/>
        <v>-</v>
      </c>
      <c r="AK116" s="219" t="str">
        <f t="shared" si="11"/>
        <v>-</v>
      </c>
      <c r="AL116" s="225" t="str">
        <f t="shared" si="12"/>
        <v>-</v>
      </c>
    </row>
    <row r="117" spans="1:39" ht="43.9" customHeight="1">
      <c r="A117" s="98" t="s">
        <v>904</v>
      </c>
      <c r="B117" s="37" t="str">
        <f t="shared" ca="1" si="7"/>
        <v>SI</v>
      </c>
      <c r="C117" s="166" t="s">
        <v>887</v>
      </c>
      <c r="D117" s="61" t="s">
        <v>44</v>
      </c>
      <c r="E117" s="88" t="s">
        <v>349</v>
      </c>
      <c r="F117" s="88" t="s">
        <v>46</v>
      </c>
      <c r="G117" s="168" t="s">
        <v>69</v>
      </c>
      <c r="H117" s="84" t="s">
        <v>905</v>
      </c>
      <c r="I117" s="83"/>
      <c r="J117" s="84" t="s">
        <v>890</v>
      </c>
      <c r="K117" s="83" t="s">
        <v>222</v>
      </c>
      <c r="L117" s="80" t="s">
        <v>43</v>
      </c>
      <c r="M117" s="80" t="s">
        <v>223</v>
      </c>
      <c r="N117" s="80" t="s">
        <v>43</v>
      </c>
      <c r="O117" s="81">
        <v>103457.18</v>
      </c>
      <c r="P117" s="122"/>
      <c r="Q117" s="116" t="s">
        <v>54</v>
      </c>
      <c r="R117" s="132" t="s">
        <v>43</v>
      </c>
      <c r="S117" s="153" t="s">
        <v>43</v>
      </c>
      <c r="T117" s="68" t="str">
        <f ca="1">IFERROR(IF(OR(Q117="Ejecutado",Q117="No corresponde atención OGTI",Q117="Desistido",Q117="-",Q117="Para reformulación"),"-",IF(OR(S117="-",S117=""),"Falta fecha_estado",NETWORKDAYS(S117,TODAY(),{"02/04/2026";"03/04/2026";"30/06/2026"}))),"-")</f>
        <v>-</v>
      </c>
      <c r="U117" s="78" t="s">
        <v>224</v>
      </c>
      <c r="V117" s="155" t="s">
        <v>906</v>
      </c>
      <c r="W117" s="62">
        <v>45440</v>
      </c>
      <c r="X117" s="152" t="s">
        <v>892</v>
      </c>
      <c r="Y117" s="171" t="s">
        <v>223</v>
      </c>
      <c r="Z117" s="196" t="str">
        <f t="shared" ca="1" si="8"/>
        <v>Vencido</v>
      </c>
      <c r="AA117" s="173">
        <v>45468</v>
      </c>
      <c r="AB117" s="74">
        <v>46145</v>
      </c>
      <c r="AC117" s="157" t="str">
        <f>IFERROR(IF(OR(AA117="-",AA117="",AB117="-",AB117=""),"-",CONCATENATE('Seguimiento OIT'!AB117-'Seguimiento OIT'!AA117+1," dias")),"-")</f>
        <v>678 dias</v>
      </c>
      <c r="AD117" s="114">
        <f t="shared" ca="1" si="15"/>
        <v>90</v>
      </c>
      <c r="AE117" s="80" t="s">
        <v>43</v>
      </c>
      <c r="AF117" s="82" t="s">
        <v>907</v>
      </c>
      <c r="AG117" s="140" t="s">
        <v>908</v>
      </c>
      <c r="AH117" s="218" t="s">
        <v>797</v>
      </c>
      <c r="AI117" s="219" t="str">
        <f t="shared" si="9"/>
        <v>Sin tramite</v>
      </c>
      <c r="AJ117" s="219" t="str">
        <f t="shared" si="10"/>
        <v>Sin HR</v>
      </c>
      <c r="AK117" s="219" t="str">
        <f t="shared" si="11"/>
        <v>Sin registro</v>
      </c>
      <c r="AL117" s="225" t="str">
        <f t="shared" si="12"/>
        <v>Sin registro</v>
      </c>
    </row>
    <row r="118" spans="1:39" ht="54" customHeight="1">
      <c r="A118" s="99" t="s">
        <v>909</v>
      </c>
      <c r="B118" s="37" t="str">
        <f t="shared" ca="1" si="7"/>
        <v>SI</v>
      </c>
      <c r="C118" s="166" t="s">
        <v>43</v>
      </c>
      <c r="D118" s="61" t="s">
        <v>44</v>
      </c>
      <c r="E118" s="88" t="s">
        <v>349</v>
      </c>
      <c r="F118" s="88" t="s">
        <v>46</v>
      </c>
      <c r="G118" s="168" t="s">
        <v>69</v>
      </c>
      <c r="H118" s="84" t="s">
        <v>910</v>
      </c>
      <c r="I118" s="83" t="s">
        <v>911</v>
      </c>
      <c r="J118" s="84" t="s">
        <v>912</v>
      </c>
      <c r="K118" s="83" t="s">
        <v>222</v>
      </c>
      <c r="L118" s="80" t="s">
        <v>43</v>
      </c>
      <c r="M118" s="80" t="s">
        <v>223</v>
      </c>
      <c r="N118" s="80" t="s">
        <v>43</v>
      </c>
      <c r="O118" s="81">
        <v>37863.839999999997</v>
      </c>
      <c r="P118" s="122">
        <v>45967</v>
      </c>
      <c r="Q118" s="117" t="s">
        <v>54</v>
      </c>
      <c r="R118" s="132" t="s">
        <v>43</v>
      </c>
      <c r="S118" s="153"/>
      <c r="T118" s="68" t="str">
        <f ca="1">IFERROR(IF(OR(Q118="Ejecutado",Q118="No corresponde atención OGTI",Q118="Desistido",Q118="-",Q118="Para reformulación"),"-",IF(OR(S118="-",S118=""),"Falta fecha_estado",NETWORKDAYS(S118,TODAY(),{"02/04/2026";"03/04/2026";"30/06/2026"}))),"-")</f>
        <v>-</v>
      </c>
      <c r="U118" s="78" t="s">
        <v>224</v>
      </c>
      <c r="V118" s="155" t="s">
        <v>913</v>
      </c>
      <c r="W118" s="62">
        <v>45993</v>
      </c>
      <c r="X118" s="152" t="s">
        <v>914</v>
      </c>
      <c r="Y118" s="171" t="s">
        <v>456</v>
      </c>
      <c r="Z118" s="196" t="str">
        <f t="shared" ca="1" si="8"/>
        <v>Vigente</v>
      </c>
      <c r="AA118" s="173">
        <v>45996</v>
      </c>
      <c r="AB118" s="74">
        <v>46360</v>
      </c>
      <c r="AC118" s="157" t="str">
        <f>IFERROR(IF(OR(AA118="-",AA118="",AB118="-",AB118=""),"-",CONCATENATE('Seguimiento OIT'!AB118-'Seguimiento OIT'!AA118+1," dias")),"-")</f>
        <v>365 dias</v>
      </c>
      <c r="AD118" s="114" t="str">
        <f t="shared" ca="1" si="15"/>
        <v>-</v>
      </c>
      <c r="AE118" s="80" t="s">
        <v>43</v>
      </c>
      <c r="AF118" s="82" t="s">
        <v>43</v>
      </c>
      <c r="AG118" s="140" t="s">
        <v>915</v>
      </c>
      <c r="AH118" s="218" t="s">
        <v>43</v>
      </c>
      <c r="AI118" s="219" t="str">
        <f t="shared" si="9"/>
        <v>-</v>
      </c>
      <c r="AJ118" s="219" t="str">
        <f t="shared" si="10"/>
        <v>-</v>
      </c>
      <c r="AK118" s="219" t="str">
        <f t="shared" si="11"/>
        <v>-</v>
      </c>
      <c r="AL118" s="225" t="str">
        <f t="shared" si="12"/>
        <v>-</v>
      </c>
    </row>
    <row r="119" spans="1:39" ht="60.75" customHeight="1">
      <c r="A119" s="88" t="s">
        <v>916</v>
      </c>
      <c r="B119" s="37" t="str">
        <f t="shared" ca="1" si="7"/>
        <v>SI</v>
      </c>
      <c r="C119" s="176"/>
      <c r="D119" s="61" t="s">
        <v>44</v>
      </c>
      <c r="E119" s="88" t="s">
        <v>349</v>
      </c>
      <c r="F119" s="88" t="s">
        <v>61</v>
      </c>
      <c r="G119" s="89" t="s">
        <v>69</v>
      </c>
      <c r="H119" s="182" t="s">
        <v>917</v>
      </c>
      <c r="I119" s="83"/>
      <c r="J119" s="84" t="s">
        <v>918</v>
      </c>
      <c r="K119" s="83" t="s">
        <v>222</v>
      </c>
      <c r="L119" s="80" t="s">
        <v>223</v>
      </c>
      <c r="M119" s="80"/>
      <c r="N119" s="80"/>
      <c r="O119" s="81">
        <v>13333760</v>
      </c>
      <c r="P119" s="122"/>
      <c r="Q119" s="116" t="s">
        <v>306</v>
      </c>
      <c r="R119" s="132"/>
      <c r="S119" s="153"/>
      <c r="T119" s="68" t="str">
        <f ca="1">IFERROR(IF(OR(Q119="Ejecutado",Q119="No corresponde atención OGTI",Q119="Desistido",Q119="-",Q119="Para reformulación"),"-",IF(OR(S119="-",S119=""),"Falta fecha_estado",NETWORKDAYS(S119,TODAY(),{"02/04/2026";"03/04/2026";"30/06/2026"}))),"-")</f>
        <v>Falta fecha_estado</v>
      </c>
      <c r="U119" s="78" t="s">
        <v>224</v>
      </c>
      <c r="V119" s="155" t="s">
        <v>919</v>
      </c>
      <c r="W119" s="62">
        <v>45392</v>
      </c>
      <c r="X119" s="152" t="s">
        <v>920</v>
      </c>
      <c r="Y119" s="171"/>
      <c r="Z119" s="196" t="str">
        <f t="shared" ca="1" si="8"/>
        <v>Proceso de implementación/Activación/Entrega</v>
      </c>
      <c r="AA119" s="173" t="s">
        <v>921</v>
      </c>
      <c r="AB119" s="74" t="s">
        <v>922</v>
      </c>
      <c r="AC119" s="157" t="str">
        <f>IFERROR(IF(OR(AA119="-",AA119="",AB119="-",AB119=""),"-",CONCATENATE('Seguimiento OIT'!AB119-'Seguimiento OIT'!AA119+1," dias")),"-")</f>
        <v>730 dias</v>
      </c>
      <c r="AD119" s="114"/>
      <c r="AE119" s="80"/>
      <c r="AF119" s="82"/>
      <c r="AG119" s="140" t="s">
        <v>923</v>
      </c>
      <c r="AH119" s="218" t="s">
        <v>797</v>
      </c>
      <c r="AI119" s="219" t="str">
        <f t="shared" si="9"/>
        <v>Apoyo presupuestal</v>
      </c>
      <c r="AJ119" s="219" t="str">
        <f t="shared" si="10"/>
        <v>114612-2026                                                                   *152536-2026 (apoyo presupuestal)</v>
      </c>
      <c r="AK119" s="219" t="str">
        <f t="shared" si="11"/>
        <v>-</v>
      </c>
      <c r="AL119" s="225" t="str">
        <f t="shared" si="12"/>
        <v>-</v>
      </c>
      <c r="AM119" s="1" t="s">
        <v>924</v>
      </c>
    </row>
    <row r="120" spans="1:39" ht="62.25" customHeight="1">
      <c r="A120" s="99" t="s">
        <v>925</v>
      </c>
      <c r="B120" s="37" t="str">
        <f t="shared" ca="1" si="7"/>
        <v>SI</v>
      </c>
      <c r="C120" s="166" t="s">
        <v>916</v>
      </c>
      <c r="D120" s="61">
        <v>2026</v>
      </c>
      <c r="E120" s="88" t="s">
        <v>45</v>
      </c>
      <c r="F120" s="88" t="s">
        <v>433</v>
      </c>
      <c r="G120" s="168" t="s">
        <v>69</v>
      </c>
      <c r="H120" s="84" t="s">
        <v>926</v>
      </c>
      <c r="I120" s="83" t="s">
        <v>927</v>
      </c>
      <c r="J120" s="84" t="s">
        <v>918</v>
      </c>
      <c r="K120" s="83" t="s">
        <v>222</v>
      </c>
      <c r="L120" s="80" t="s">
        <v>223</v>
      </c>
      <c r="M120" s="80" t="s">
        <v>928</v>
      </c>
      <c r="N120" s="80" t="s">
        <v>43</v>
      </c>
      <c r="O120" s="81">
        <v>4000128</v>
      </c>
      <c r="P120" s="122">
        <v>46167</v>
      </c>
      <c r="Q120" s="117" t="s">
        <v>281</v>
      </c>
      <c r="R120" s="132" t="s">
        <v>929</v>
      </c>
      <c r="S120" s="153">
        <v>46213</v>
      </c>
      <c r="T120" s="68">
        <f ca="1">IFERROR(IF(OR(Q120="Ejecutado",Q120="No corresponde atención OGTI",Q120="Desistido",Q120="-",Q120="Para reformulación"),"-",IF(OR(S120="-",S120=""),"Falta fecha_estado",NETWORKDAYS(S120,TODAY(),{"02/04/2026";"03/04/2026";"30/06/2026"}))),"-")</f>
        <v>16</v>
      </c>
      <c r="U120" s="78" t="s">
        <v>43</v>
      </c>
      <c r="V120" s="163" t="s">
        <v>43</v>
      </c>
      <c r="W120" s="83" t="s">
        <v>43</v>
      </c>
      <c r="X120" s="153" t="s">
        <v>920</v>
      </c>
      <c r="Y120" s="171" t="s">
        <v>928</v>
      </c>
      <c r="Z120" s="196" t="str">
        <f t="shared" ca="1" si="8"/>
        <v>En tramite</v>
      </c>
      <c r="AA120" s="174" t="s">
        <v>43</v>
      </c>
      <c r="AB120" s="85" t="s">
        <v>43</v>
      </c>
      <c r="AC120" s="157" t="str">
        <f>IFERROR(IF(OR(AA120="-",AA120="",AB120="-",AB120=""),"-",CONCATENATE('Seguimiento OIT'!AB120-'Seguimiento OIT'!AA120+1," dias")),"-")</f>
        <v>-</v>
      </c>
      <c r="AD120" s="148" t="str">
        <f ca="1">IFERROR(IF(Z120="Vencido",(TODAY()-AB120)+1,"-"),"-")</f>
        <v>-</v>
      </c>
      <c r="AE120" s="80" t="s">
        <v>43</v>
      </c>
      <c r="AF120" s="82" t="s">
        <v>930</v>
      </c>
      <c r="AG120" s="132" t="s">
        <v>43</v>
      </c>
      <c r="AH120" s="218" t="s">
        <v>43</v>
      </c>
      <c r="AI120" s="219" t="str">
        <f t="shared" si="9"/>
        <v>-</v>
      </c>
      <c r="AJ120" s="219" t="str">
        <f t="shared" si="10"/>
        <v>-</v>
      </c>
      <c r="AK120" s="219" t="str">
        <f t="shared" si="11"/>
        <v>-</v>
      </c>
      <c r="AL120" s="225" t="str">
        <f t="shared" si="12"/>
        <v>-</v>
      </c>
      <c r="AM120" s="1" t="s">
        <v>924</v>
      </c>
    </row>
    <row r="121" spans="1:39" ht="61.5" customHeight="1">
      <c r="A121" s="99" t="s">
        <v>931</v>
      </c>
      <c r="B121" s="37" t="str">
        <f t="shared" ca="1" si="7"/>
        <v>SI</v>
      </c>
      <c r="C121" s="99" t="s">
        <v>925</v>
      </c>
      <c r="D121" s="61">
        <v>2026</v>
      </c>
      <c r="E121" s="88" t="s">
        <v>349</v>
      </c>
      <c r="F121" s="88" t="s">
        <v>46</v>
      </c>
      <c r="G121" s="168" t="s">
        <v>69</v>
      </c>
      <c r="H121" s="84" t="s">
        <v>932</v>
      </c>
      <c r="I121" s="83" t="s">
        <v>933</v>
      </c>
      <c r="J121" s="96" t="s">
        <v>918</v>
      </c>
      <c r="K121" s="83" t="s">
        <v>222</v>
      </c>
      <c r="L121" s="80" t="s">
        <v>223</v>
      </c>
      <c r="M121" s="80" t="s">
        <v>928</v>
      </c>
      <c r="N121" s="80" t="s">
        <v>43</v>
      </c>
      <c r="O121" s="81">
        <v>13333760</v>
      </c>
      <c r="P121" s="122">
        <v>46156</v>
      </c>
      <c r="Q121" s="117" t="s">
        <v>476</v>
      </c>
      <c r="R121" s="132" t="s">
        <v>423</v>
      </c>
      <c r="S121" s="153">
        <v>46225</v>
      </c>
      <c r="T121" s="68">
        <f ca="1">IFERROR(IF(OR(Q121="Ejecutado",Q121="No corresponde atención OGTI",Q121="Desistido",Q121="-",Q121="Para reformulación"),"-",IF(OR(S121="-",S121=""),"Falta fecha_estado",NETWORKDAYS(S121,TODAY(),{"02/04/2026";"03/04/2026";"30/06/2026"}))),"-")</f>
        <v>8</v>
      </c>
      <c r="U121" s="78" t="s">
        <v>43</v>
      </c>
      <c r="V121" s="155" t="s">
        <v>43</v>
      </c>
      <c r="W121" s="62" t="s">
        <v>43</v>
      </c>
      <c r="X121" s="152" t="s">
        <v>43</v>
      </c>
      <c r="Y121" s="171" t="s">
        <v>43</v>
      </c>
      <c r="Z121" s="196" t="str">
        <f t="shared" ca="1" si="8"/>
        <v>En tramite</v>
      </c>
      <c r="AA121" s="173" t="s">
        <v>43</v>
      </c>
      <c r="AB121" s="74" t="s">
        <v>43</v>
      </c>
      <c r="AC121" s="157" t="str">
        <f>IFERROR(IF(OR(AA121="-",AA121="",AB121="-",AB121=""),"-",CONCATENATE('Seguimiento OIT'!AB121-'Seguimiento OIT'!AA121+1," dias")),"-")</f>
        <v>-</v>
      </c>
      <c r="AD121" s="114" t="str">
        <f t="shared" ca="1" si="15"/>
        <v>-</v>
      </c>
      <c r="AE121" s="80" t="s">
        <v>43</v>
      </c>
      <c r="AF121" s="82" t="s">
        <v>934</v>
      </c>
      <c r="AG121" s="140" t="s">
        <v>935</v>
      </c>
      <c r="AH121" s="218" t="s">
        <v>43</v>
      </c>
      <c r="AI121" s="219" t="str">
        <f t="shared" si="9"/>
        <v>-</v>
      </c>
      <c r="AJ121" s="219" t="str">
        <f t="shared" si="10"/>
        <v>-</v>
      </c>
      <c r="AK121" s="219" t="str">
        <f t="shared" si="11"/>
        <v>-</v>
      </c>
      <c r="AL121" s="225" t="str">
        <f t="shared" si="12"/>
        <v>-</v>
      </c>
    </row>
    <row r="122" spans="1:39" ht="61.5" customHeight="1">
      <c r="A122" s="99" t="s">
        <v>936</v>
      </c>
      <c r="B122" s="37" t="str">
        <f t="shared" ca="1" si="7"/>
        <v>SI</v>
      </c>
      <c r="C122" s="166"/>
      <c r="D122" s="61" t="s">
        <v>44</v>
      </c>
      <c r="E122" s="88" t="s">
        <v>45</v>
      </c>
      <c r="F122" s="88" t="s">
        <v>433</v>
      </c>
      <c r="G122" s="168" t="s">
        <v>69</v>
      </c>
      <c r="H122" s="84" t="s">
        <v>937</v>
      </c>
      <c r="I122" s="83"/>
      <c r="J122" s="96" t="s">
        <v>918</v>
      </c>
      <c r="K122" s="83" t="s">
        <v>222</v>
      </c>
      <c r="L122" s="80" t="s">
        <v>223</v>
      </c>
      <c r="M122" s="80"/>
      <c r="N122" s="80"/>
      <c r="O122" s="81">
        <v>3277178.6</v>
      </c>
      <c r="P122" s="122"/>
      <c r="Q122" s="116" t="s">
        <v>306</v>
      </c>
      <c r="R122" s="132"/>
      <c r="S122" s="153"/>
      <c r="T122" s="68" t="str">
        <f ca="1">IFERROR(IF(OR(Q122="Ejecutado",Q122="No corresponde atención OGTI",Q122="Desistido",Q122="-",Q122="Para reformulación"),"-",IF(OR(S122="-",S122=""),"Falta fecha_estado",NETWORKDAYS(S122,TODAY(),{"02/04/2026";"03/04/2026";"30/06/2026"}))),"-")</f>
        <v>Falta fecha_estado</v>
      </c>
      <c r="U122" s="78" t="s">
        <v>224</v>
      </c>
      <c r="V122" s="155" t="s">
        <v>938</v>
      </c>
      <c r="W122" s="62">
        <v>45569</v>
      </c>
      <c r="X122" s="152" t="s">
        <v>498</v>
      </c>
      <c r="Y122" s="171"/>
      <c r="Z122" s="196" t="str">
        <f t="shared" ca="1" si="8"/>
        <v>Proceso de implementación/Activación/Entrega</v>
      </c>
      <c r="AA122" s="173" t="s">
        <v>939</v>
      </c>
      <c r="AB122" s="74" t="s">
        <v>940</v>
      </c>
      <c r="AC122" s="157" t="str">
        <f>IFERROR(IF(OR(AA122="-",AA122="",AB122="-",AB122=""),"-",CONCATENATE('Seguimiento OIT'!AB122-'Seguimiento OIT'!AA122+1," dias")),"-")</f>
        <v>730 dias</v>
      </c>
      <c r="AD122" s="114"/>
      <c r="AE122" s="80"/>
      <c r="AF122" s="82"/>
      <c r="AG122" s="140" t="s">
        <v>941</v>
      </c>
      <c r="AH122" s="218" t="s">
        <v>797</v>
      </c>
      <c r="AI122" s="219" t="str">
        <f t="shared" si="9"/>
        <v>Revisión OAB</v>
      </c>
      <c r="AJ122" s="219" t="str">
        <f t="shared" si="10"/>
        <v>116858-2026                                                                  *152536-2026 (apoyo presupuestal)        *147003-2026 (verificación de documentos)</v>
      </c>
      <c r="AK122" s="219" t="str">
        <f t="shared" si="11"/>
        <v>-</v>
      </c>
      <c r="AL122" s="225" t="str">
        <f t="shared" si="12"/>
        <v>-</v>
      </c>
    </row>
    <row r="123" spans="1:39" ht="61.5" customHeight="1">
      <c r="A123" s="99" t="s">
        <v>942</v>
      </c>
      <c r="B123" s="37" t="str">
        <f t="shared" ca="1" si="7"/>
        <v>SI</v>
      </c>
      <c r="C123" s="166" t="s">
        <v>936</v>
      </c>
      <c r="D123" s="61">
        <v>2026</v>
      </c>
      <c r="E123" s="88" t="s">
        <v>45</v>
      </c>
      <c r="F123" s="88" t="s">
        <v>433</v>
      </c>
      <c r="G123" s="168" t="s">
        <v>69</v>
      </c>
      <c r="H123" s="84" t="s">
        <v>943</v>
      </c>
      <c r="I123" s="83" t="s">
        <v>944</v>
      </c>
      <c r="J123" s="96" t="s">
        <v>918</v>
      </c>
      <c r="K123" s="83" t="s">
        <v>222</v>
      </c>
      <c r="L123" s="80" t="s">
        <v>223</v>
      </c>
      <c r="M123" s="80" t="s">
        <v>928</v>
      </c>
      <c r="N123" s="80" t="s">
        <v>43</v>
      </c>
      <c r="O123" s="81">
        <v>845326.51</v>
      </c>
      <c r="P123" s="122">
        <v>46169</v>
      </c>
      <c r="Q123" s="117" t="s">
        <v>430</v>
      </c>
      <c r="R123" s="132" t="s">
        <v>423</v>
      </c>
      <c r="S123" s="153">
        <v>46224</v>
      </c>
      <c r="T123" s="68">
        <f ca="1">IFERROR(IF(OR(Q123="Ejecutado",Q123="No corresponde atención OGTI",Q123="Desistido",Q123="-",Q123="Para reformulación"),"-",IF(OR(S123="-",S123=""),"Falta fecha_estado",NETWORKDAYS(S123,TODAY(),{"02/04/2026";"03/04/2026";"30/06/2026"}))),"-")</f>
        <v>9</v>
      </c>
      <c r="U123" s="78" t="s">
        <v>43</v>
      </c>
      <c r="V123" s="155" t="s">
        <v>43</v>
      </c>
      <c r="W123" s="62" t="s">
        <v>43</v>
      </c>
      <c r="X123" s="152" t="s">
        <v>498</v>
      </c>
      <c r="Y123" s="171" t="s">
        <v>928</v>
      </c>
      <c r="Z123" s="196" t="str">
        <f t="shared" ca="1" si="8"/>
        <v>En tramite</v>
      </c>
      <c r="AA123" s="173" t="s">
        <v>43</v>
      </c>
      <c r="AB123" s="74" t="s">
        <v>43</v>
      </c>
      <c r="AC123" s="157" t="str">
        <f>IFERROR(IF(OR(AA123="-",AA123="",AB123="-",AB123=""),"-",CONCATENATE('Seguimiento OIT'!AB123-'Seguimiento OIT'!AA123+1," dias")),"-")</f>
        <v>-</v>
      </c>
      <c r="AD123" s="114" t="str">
        <f ca="1">IFERROR(IF(Z123="Vencido",(TODAY()-AB123)+1,"-"),"-")</f>
        <v>-</v>
      </c>
      <c r="AE123" s="80" t="s">
        <v>43</v>
      </c>
      <c r="AF123" s="82" t="s">
        <v>945</v>
      </c>
      <c r="AG123" s="132" t="s">
        <v>43</v>
      </c>
      <c r="AH123" s="218" t="s">
        <v>43</v>
      </c>
      <c r="AI123" s="219" t="str">
        <f t="shared" si="9"/>
        <v>-</v>
      </c>
      <c r="AJ123" s="219" t="str">
        <f t="shared" si="10"/>
        <v>-</v>
      </c>
      <c r="AK123" s="219" t="str">
        <f t="shared" si="11"/>
        <v>-</v>
      </c>
      <c r="AL123" s="225" t="str">
        <f t="shared" si="12"/>
        <v>-</v>
      </c>
    </row>
    <row r="124" spans="1:39" ht="69" customHeight="1">
      <c r="A124" s="99" t="s">
        <v>946</v>
      </c>
      <c r="B124" s="37" t="str">
        <f t="shared" ca="1" si="7"/>
        <v>SI</v>
      </c>
      <c r="C124" s="166" t="s">
        <v>43</v>
      </c>
      <c r="D124" s="61">
        <v>2026</v>
      </c>
      <c r="E124" s="88" t="s">
        <v>349</v>
      </c>
      <c r="F124" s="88" t="s">
        <v>46</v>
      </c>
      <c r="G124" s="168" t="s">
        <v>69</v>
      </c>
      <c r="H124" s="84" t="s">
        <v>937</v>
      </c>
      <c r="I124" s="83" t="s">
        <v>933</v>
      </c>
      <c r="J124" s="96" t="s">
        <v>947</v>
      </c>
      <c r="K124" s="83" t="s">
        <v>222</v>
      </c>
      <c r="L124" s="80" t="s">
        <v>43</v>
      </c>
      <c r="M124" s="80" t="s">
        <v>223</v>
      </c>
      <c r="N124" s="80" t="s">
        <v>43</v>
      </c>
      <c r="O124" s="81" t="s">
        <v>280</v>
      </c>
      <c r="P124" s="122">
        <v>46156</v>
      </c>
      <c r="Q124" s="117" t="s">
        <v>430</v>
      </c>
      <c r="R124" s="132" t="s">
        <v>423</v>
      </c>
      <c r="S124" s="153">
        <v>46217</v>
      </c>
      <c r="T124" s="68">
        <f ca="1">IFERROR(IF(OR(Q124="Ejecutado",Q124="No corresponde atención OGTI",Q124="Desistido",Q124="-",Q124="Para reformulación"),"-",IF(OR(S124="-",S124=""),"Falta fecha_estado",NETWORKDAYS(S124,TODAY(),{"02/04/2026";"03/04/2026";"30/06/2026"}))),"-")</f>
        <v>14</v>
      </c>
      <c r="U124" s="78" t="s">
        <v>43</v>
      </c>
      <c r="V124" s="155" t="s">
        <v>43</v>
      </c>
      <c r="W124" s="62" t="s">
        <v>43</v>
      </c>
      <c r="X124" s="152" t="s">
        <v>43</v>
      </c>
      <c r="Y124" s="171" t="s">
        <v>43</v>
      </c>
      <c r="Z124" s="196" t="str">
        <f t="shared" ca="1" si="8"/>
        <v>En tramite</v>
      </c>
      <c r="AA124" s="173" t="s">
        <v>43</v>
      </c>
      <c r="AB124" s="74" t="s">
        <v>43</v>
      </c>
      <c r="AC124" s="157" t="str">
        <f>IFERROR(IF(OR(AA124="-",AA124="",AB124="-",AB124=""),"-",CONCATENATE('Seguimiento OIT'!AB124-'Seguimiento OIT'!AA124+1," dias")),"-")</f>
        <v>-</v>
      </c>
      <c r="AD124" s="114" t="str">
        <f t="shared" ca="1" si="15"/>
        <v>-</v>
      </c>
      <c r="AE124" s="80" t="s">
        <v>43</v>
      </c>
      <c r="AF124" s="82" t="s">
        <v>43</v>
      </c>
      <c r="AG124" s="140" t="s">
        <v>948</v>
      </c>
      <c r="AH124" s="218" t="s">
        <v>43</v>
      </c>
      <c r="AI124" s="219" t="str">
        <f t="shared" si="9"/>
        <v>-</v>
      </c>
      <c r="AJ124" s="219" t="str">
        <f t="shared" si="10"/>
        <v>-</v>
      </c>
      <c r="AK124" s="219" t="str">
        <f t="shared" si="11"/>
        <v>-</v>
      </c>
      <c r="AL124" s="225" t="str">
        <f t="shared" si="12"/>
        <v>-</v>
      </c>
    </row>
    <row r="125" spans="1:39" ht="81" customHeight="1">
      <c r="A125" s="99" t="s">
        <v>949</v>
      </c>
      <c r="B125" s="37" t="str">
        <f t="shared" ca="1" si="7"/>
        <v>SI</v>
      </c>
      <c r="C125" s="166" t="s">
        <v>43</v>
      </c>
      <c r="D125" s="61" t="s">
        <v>44</v>
      </c>
      <c r="E125" s="88" t="s">
        <v>349</v>
      </c>
      <c r="F125" s="88" t="s">
        <v>61</v>
      </c>
      <c r="G125" s="168" t="s">
        <v>950</v>
      </c>
      <c r="H125" s="84" t="s">
        <v>951</v>
      </c>
      <c r="I125" s="83"/>
      <c r="J125" s="84" t="s">
        <v>952</v>
      </c>
      <c r="K125" s="83" t="s">
        <v>222</v>
      </c>
      <c r="L125" s="80" t="s">
        <v>43</v>
      </c>
      <c r="M125" s="80" t="s">
        <v>223</v>
      </c>
      <c r="N125" s="80" t="s">
        <v>43</v>
      </c>
      <c r="O125" s="81">
        <v>120000</v>
      </c>
      <c r="P125" s="122"/>
      <c r="Q125" s="117" t="s">
        <v>54</v>
      </c>
      <c r="R125" s="132" t="s">
        <v>43</v>
      </c>
      <c r="S125" s="153"/>
      <c r="T125" s="68" t="str">
        <f ca="1">IFERROR(IF(OR(Q125="Ejecutado",Q125="No corresponde atención OGTI",Q125="Desistido",Q125="-",Q125="Para reformulación"),"-",IF(OR(S125="-",S125=""),"Falta fecha_estado",NETWORKDAYS(S125,TODAY(),{"02/04/2026";"03/04/2026";"30/06/2026"}))),"-")</f>
        <v>-</v>
      </c>
      <c r="U125" s="78" t="s">
        <v>224</v>
      </c>
      <c r="V125" s="155" t="s">
        <v>953</v>
      </c>
      <c r="W125" s="62">
        <v>45993</v>
      </c>
      <c r="X125" s="152" t="s">
        <v>954</v>
      </c>
      <c r="Y125" s="171" t="s">
        <v>456</v>
      </c>
      <c r="Z125" s="196" t="str">
        <f t="shared" ca="1" si="8"/>
        <v>Falta informacion</v>
      </c>
      <c r="AA125" s="173"/>
      <c r="AB125" s="173"/>
      <c r="AC125" s="157" t="str">
        <f>IFERROR(IF(OR(AA125="-",AA125="",AB125="-",AB125=""),"-",CONCATENATE('Seguimiento OIT'!AB125-'Seguimiento OIT'!AA125+1," dias")),"-")</f>
        <v>-</v>
      </c>
      <c r="AD125" s="114" t="str">
        <f t="shared" ca="1" si="15"/>
        <v>-</v>
      </c>
      <c r="AE125" s="80" t="s">
        <v>43</v>
      </c>
      <c r="AF125" s="82" t="s">
        <v>43</v>
      </c>
      <c r="AG125" s="132" t="s">
        <v>43</v>
      </c>
      <c r="AH125" s="218" t="s">
        <v>43</v>
      </c>
      <c r="AI125" s="219" t="str">
        <f t="shared" si="9"/>
        <v>-</v>
      </c>
      <c r="AJ125" s="219" t="str">
        <f t="shared" si="10"/>
        <v>-</v>
      </c>
      <c r="AK125" s="219" t="str">
        <f t="shared" si="11"/>
        <v>-</v>
      </c>
      <c r="AL125" s="225" t="str">
        <f t="shared" si="12"/>
        <v>-</v>
      </c>
    </row>
    <row r="126" spans="1:39" ht="44.1" customHeight="1">
      <c r="A126" s="99" t="s">
        <v>955</v>
      </c>
      <c r="B126" s="37" t="str">
        <f t="shared" ca="1" si="7"/>
        <v>SI</v>
      </c>
      <c r="C126" s="166" t="s">
        <v>43</v>
      </c>
      <c r="D126" s="61" t="s">
        <v>44</v>
      </c>
      <c r="E126" s="88" t="s">
        <v>349</v>
      </c>
      <c r="F126" s="88" t="s">
        <v>61</v>
      </c>
      <c r="G126" s="168" t="s">
        <v>950</v>
      </c>
      <c r="H126" s="84" t="s">
        <v>956</v>
      </c>
      <c r="I126" s="83"/>
      <c r="J126" s="84" t="s">
        <v>957</v>
      </c>
      <c r="K126" s="83" t="s">
        <v>222</v>
      </c>
      <c r="L126" s="80" t="s">
        <v>43</v>
      </c>
      <c r="M126" s="80" t="s">
        <v>223</v>
      </c>
      <c r="N126" s="80" t="s">
        <v>43</v>
      </c>
      <c r="O126" s="81">
        <v>86000</v>
      </c>
      <c r="P126" s="122"/>
      <c r="Q126" s="117" t="s">
        <v>54</v>
      </c>
      <c r="R126" s="132" t="s">
        <v>43</v>
      </c>
      <c r="S126" s="153"/>
      <c r="T126" s="68" t="str">
        <f ca="1">IFERROR(IF(OR(Q126="Ejecutado",Q126="No corresponde atención OGTI",Q126="Desistido",Q126="-",Q126="Para reformulación"),"-",IF(OR(S126="-",S126=""),"Falta fecha_estado",NETWORKDAYS(S126,TODAY(),{"02/04/2026";"03/04/2026";"30/06/2026"}))),"-")</f>
        <v>-</v>
      </c>
      <c r="U126" s="78" t="s">
        <v>224</v>
      </c>
      <c r="V126" s="155" t="s">
        <v>958</v>
      </c>
      <c r="W126" s="62">
        <v>45628</v>
      </c>
      <c r="X126" s="152" t="s">
        <v>954</v>
      </c>
      <c r="Y126" s="171" t="s">
        <v>456</v>
      </c>
      <c r="Z126" s="196" t="str">
        <f t="shared" ca="1" si="8"/>
        <v>Falta informacion</v>
      </c>
      <c r="AA126" s="173"/>
      <c r="AB126" s="173"/>
      <c r="AC126" s="157" t="str">
        <f>IFERROR(IF(OR(AA126="-",AA126="",AB126="-",AB126=""),"-",CONCATENATE('Seguimiento OIT'!AB126-'Seguimiento OIT'!AA126+1," dias")),"-")</f>
        <v>-</v>
      </c>
      <c r="AD126" s="114" t="str">
        <f t="shared" ca="1" si="15"/>
        <v>-</v>
      </c>
      <c r="AE126" s="80" t="s">
        <v>43</v>
      </c>
      <c r="AF126" s="82" t="s">
        <v>43</v>
      </c>
      <c r="AG126" s="132" t="s">
        <v>43</v>
      </c>
      <c r="AH126" s="218" t="s">
        <v>43</v>
      </c>
      <c r="AI126" s="219" t="str">
        <f t="shared" si="9"/>
        <v>-</v>
      </c>
      <c r="AJ126" s="219" t="str">
        <f t="shared" si="10"/>
        <v>-</v>
      </c>
      <c r="AK126" s="219" t="str">
        <f t="shared" si="11"/>
        <v>-</v>
      </c>
      <c r="AL126" s="225" t="str">
        <f t="shared" si="12"/>
        <v>-</v>
      </c>
    </row>
    <row r="127" spans="1:39" ht="44.1" customHeight="1">
      <c r="A127" s="37" t="s">
        <v>959</v>
      </c>
      <c r="B127" s="37" t="str">
        <f t="shared" ca="1" si="7"/>
        <v>SI</v>
      </c>
      <c r="C127" s="165" t="s">
        <v>43</v>
      </c>
      <c r="D127" s="61" t="s">
        <v>44</v>
      </c>
      <c r="E127" s="61" t="s">
        <v>45</v>
      </c>
      <c r="F127" s="61" t="s">
        <v>61</v>
      </c>
      <c r="G127" s="167" t="s">
        <v>69</v>
      </c>
      <c r="H127" s="60" t="s">
        <v>960</v>
      </c>
      <c r="I127" s="62" t="s">
        <v>961</v>
      </c>
      <c r="J127" s="60" t="s">
        <v>962</v>
      </c>
      <c r="K127" s="62" t="s">
        <v>119</v>
      </c>
      <c r="L127" s="63" t="s">
        <v>120</v>
      </c>
      <c r="M127" s="63" t="s">
        <v>120</v>
      </c>
      <c r="N127" s="63" t="s">
        <v>196</v>
      </c>
      <c r="O127" s="64" t="s">
        <v>280</v>
      </c>
      <c r="P127" s="120">
        <v>46217</v>
      </c>
      <c r="Q127" s="116" t="s">
        <v>430</v>
      </c>
      <c r="R127" s="159" t="s">
        <v>423</v>
      </c>
      <c r="S127" s="152">
        <v>46225</v>
      </c>
      <c r="T127" s="68">
        <f ca="1">IFERROR(IF(OR(Q127="Ejecutado",Q127="No corresponde atención OGTI",Q127="Desistido",Q127="-",Q127="Para reformulación"),"-",IF(OR(S127="-",S127=""),"Falta fecha_estado",NETWORKDAYS(S127,TODAY(),{"02/04/2026";"03/04/2026";"30/06/2026"}))),"-")</f>
        <v>8</v>
      </c>
      <c r="U127" s="69" t="s">
        <v>43</v>
      </c>
      <c r="V127" s="155" t="s">
        <v>43</v>
      </c>
      <c r="W127" s="62" t="s">
        <v>43</v>
      </c>
      <c r="X127" s="152" t="s">
        <v>43</v>
      </c>
      <c r="Y127" s="169" t="s">
        <v>43</v>
      </c>
      <c r="Z127" s="196" t="str">
        <f t="shared" ca="1" si="8"/>
        <v>En tramite</v>
      </c>
      <c r="AA127" s="173" t="s">
        <v>43</v>
      </c>
      <c r="AB127" s="74" t="s">
        <v>43</v>
      </c>
      <c r="AC127" s="157" t="str">
        <f>IFERROR(IF(OR(AA127="-",AA127="",AB127="-",AB127=""),"-",CONCATENATE('Seguimiento OIT'!AB127-'Seguimiento OIT'!AA127+1," dias")),"-")</f>
        <v>-</v>
      </c>
      <c r="AD127" s="114" t="str">
        <f t="shared" ca="1" si="15"/>
        <v>-</v>
      </c>
      <c r="AE127" s="63" t="s">
        <v>43</v>
      </c>
      <c r="AF127" s="82" t="s">
        <v>43</v>
      </c>
      <c r="AG127" s="140" t="s">
        <v>963</v>
      </c>
      <c r="AH127" s="218" t="s">
        <v>43</v>
      </c>
      <c r="AI127" s="219" t="str">
        <f t="shared" si="9"/>
        <v>-</v>
      </c>
      <c r="AJ127" s="219" t="str">
        <f t="shared" si="10"/>
        <v>-</v>
      </c>
      <c r="AK127" s="219" t="str">
        <f t="shared" si="11"/>
        <v>-</v>
      </c>
      <c r="AL127" s="225" t="str">
        <f t="shared" si="12"/>
        <v>-</v>
      </c>
    </row>
    <row r="128" spans="1:39" ht="44.1" customHeight="1">
      <c r="A128" s="98" t="s">
        <v>964</v>
      </c>
      <c r="B128" s="37" t="str">
        <f t="shared" ca="1" si="7"/>
        <v>SI</v>
      </c>
      <c r="C128" s="165" t="s">
        <v>43</v>
      </c>
      <c r="D128" s="61" t="s">
        <v>44</v>
      </c>
      <c r="E128" s="61" t="s">
        <v>45</v>
      </c>
      <c r="F128" s="61" t="s">
        <v>61</v>
      </c>
      <c r="G128" s="167" t="s">
        <v>47</v>
      </c>
      <c r="H128" s="60" t="s">
        <v>965</v>
      </c>
      <c r="I128" s="62" t="s">
        <v>966</v>
      </c>
      <c r="J128" s="60" t="s">
        <v>967</v>
      </c>
      <c r="K128" s="62" t="s">
        <v>222</v>
      </c>
      <c r="L128" s="63" t="s">
        <v>223</v>
      </c>
      <c r="M128" s="63" t="s">
        <v>223</v>
      </c>
      <c r="N128" s="63" t="s">
        <v>154</v>
      </c>
      <c r="O128" s="64" t="s">
        <v>280</v>
      </c>
      <c r="P128" s="120">
        <v>46199</v>
      </c>
      <c r="Q128" s="116" t="s">
        <v>476</v>
      </c>
      <c r="R128" s="159" t="s">
        <v>470</v>
      </c>
      <c r="S128" s="152">
        <v>46225</v>
      </c>
      <c r="T128" s="68">
        <f ca="1">IFERROR(IF(OR(Q128="Ejecutado",Q128="No corresponde atención OGTI",Q128="Desistido",Q128="-",Q128="Para reformulación"),"-",IF(OR(S128="-",S128=""),"Falta fecha_estado",NETWORKDAYS(S128,TODAY(),{"02/04/2026";"03/04/2026";"30/06/2026"}))),"-")</f>
        <v>8</v>
      </c>
      <c r="U128" s="69" t="s">
        <v>43</v>
      </c>
      <c r="V128" s="155" t="s">
        <v>43</v>
      </c>
      <c r="W128" s="62" t="s">
        <v>43</v>
      </c>
      <c r="X128" s="152" t="s">
        <v>43</v>
      </c>
      <c r="Y128" s="169" t="s">
        <v>43</v>
      </c>
      <c r="Z128" s="196" t="str">
        <f t="shared" ca="1" si="8"/>
        <v>En tramite</v>
      </c>
      <c r="AA128" s="173" t="s">
        <v>43</v>
      </c>
      <c r="AB128" s="74" t="s">
        <v>43</v>
      </c>
      <c r="AC128" s="157" t="str">
        <f>IFERROR(IF(OR(AA128="-",AA128="",AB128="-",AB128=""),"-",CONCATENATE('Seguimiento OIT'!AB128-'Seguimiento OIT'!AA128+1," dias")),"-")</f>
        <v>-</v>
      </c>
      <c r="AD128" s="114" t="str">
        <f t="shared" ca="1" si="15"/>
        <v>-</v>
      </c>
      <c r="AE128" s="63" t="s">
        <v>43</v>
      </c>
      <c r="AF128" s="82" t="s">
        <v>968</v>
      </c>
      <c r="AG128" s="132" t="s">
        <v>43</v>
      </c>
      <c r="AH128" s="218" t="s">
        <v>43</v>
      </c>
      <c r="AI128" s="219" t="str">
        <f t="shared" si="9"/>
        <v>-</v>
      </c>
      <c r="AJ128" s="219" t="str">
        <f t="shared" si="10"/>
        <v>-</v>
      </c>
      <c r="AK128" s="219" t="str">
        <f t="shared" si="11"/>
        <v>-</v>
      </c>
      <c r="AL128" s="225" t="str">
        <f t="shared" si="12"/>
        <v>-</v>
      </c>
    </row>
    <row r="129" spans="1:38" ht="44.1" customHeight="1">
      <c r="A129" s="98" t="s">
        <v>997</v>
      </c>
      <c r="B129" s="37" t="str">
        <f t="shared" ca="1" si="7"/>
        <v>SI</v>
      </c>
      <c r="C129" s="165" t="s">
        <v>43</v>
      </c>
      <c r="D129" s="61" t="s">
        <v>44</v>
      </c>
      <c r="E129" s="61" t="s">
        <v>45</v>
      </c>
      <c r="F129" s="61" t="s">
        <v>61</v>
      </c>
      <c r="G129" s="167" t="s">
        <v>47</v>
      </c>
      <c r="H129" s="60" t="s">
        <v>1278</v>
      </c>
      <c r="I129" s="62" t="s">
        <v>1276</v>
      </c>
      <c r="J129" s="60" t="s">
        <v>1277</v>
      </c>
      <c r="K129" s="62" t="s">
        <v>73</v>
      </c>
      <c r="L129" s="63" t="s">
        <v>74</v>
      </c>
      <c r="M129" s="63" t="s">
        <v>75</v>
      </c>
      <c r="N129" s="63" t="s">
        <v>110</v>
      </c>
      <c r="O129" s="64" t="s">
        <v>280</v>
      </c>
      <c r="P129" s="120">
        <v>46216</v>
      </c>
      <c r="Q129" s="116" t="s">
        <v>1223</v>
      </c>
      <c r="R129" s="159" t="s">
        <v>289</v>
      </c>
      <c r="S129" s="152">
        <v>46233</v>
      </c>
      <c r="T129" s="68">
        <f ca="1">IFERROR(IF(OR(Q129="Ejecutado",Q129="No corresponde atención OGTI",Q129="Desistido",Q129="-",Q129="Para reformulación"),"-",IF(OR(S129="-",S129=""),"Falta fecha_estado",NETWORKDAYS(S129,TODAY(),{"02/04/2026";"03/04/2026";"30/06/2026"}))),"-")</f>
        <v>2</v>
      </c>
      <c r="U129" s="69" t="s">
        <v>43</v>
      </c>
      <c r="V129" s="155" t="s">
        <v>43</v>
      </c>
      <c r="W129" s="62" t="s">
        <v>43</v>
      </c>
      <c r="X129" s="152" t="s">
        <v>43</v>
      </c>
      <c r="Y129" s="169" t="s">
        <v>43</v>
      </c>
      <c r="Z129" s="196" t="str">
        <f t="shared" ca="1" si="8"/>
        <v>En tramite</v>
      </c>
      <c r="AA129" s="173" t="s">
        <v>43</v>
      </c>
      <c r="AB129" s="74" t="s">
        <v>43</v>
      </c>
      <c r="AC129" s="157" t="str">
        <f>IFERROR(IF(OR(AA129="-",AA129="",AB129="-",AB129=""),"-",CONCATENATE('Seguimiento OIT'!AB129-'Seguimiento OIT'!AA129+1," dias")),"-")</f>
        <v>-</v>
      </c>
      <c r="AD129" s="114" t="str">
        <f t="shared" ca="1" si="15"/>
        <v>-</v>
      </c>
      <c r="AE129" s="63" t="s">
        <v>1279</v>
      </c>
      <c r="AF129" s="82" t="s">
        <v>43</v>
      </c>
      <c r="AG129" s="140" t="s">
        <v>1280</v>
      </c>
      <c r="AH129" s="218" t="s">
        <v>43</v>
      </c>
      <c r="AI129" s="219" t="str">
        <f t="shared" si="9"/>
        <v>-</v>
      </c>
      <c r="AJ129" s="219" t="str">
        <f t="shared" si="10"/>
        <v>-</v>
      </c>
      <c r="AK129" s="219" t="str">
        <f t="shared" si="11"/>
        <v>-</v>
      </c>
      <c r="AL129" s="225" t="str">
        <f t="shared" si="12"/>
        <v>-</v>
      </c>
    </row>
    <row r="130" spans="1:38" ht="44.1" customHeight="1">
      <c r="A130" s="98" t="s">
        <v>998</v>
      </c>
      <c r="B130" s="37" t="str">
        <f t="shared" ca="1" si="7"/>
        <v>SI</v>
      </c>
      <c r="C130" s="165" t="s">
        <v>43</v>
      </c>
      <c r="D130" s="61" t="s">
        <v>44</v>
      </c>
      <c r="E130" s="61" t="s">
        <v>45</v>
      </c>
      <c r="F130" s="61" t="s">
        <v>61</v>
      </c>
      <c r="G130" s="167" t="s">
        <v>69</v>
      </c>
      <c r="H130" s="60" t="s">
        <v>1281</v>
      </c>
      <c r="I130" s="62" t="s">
        <v>280</v>
      </c>
      <c r="J130" s="60" t="s">
        <v>1282</v>
      </c>
      <c r="K130" s="62" t="s">
        <v>370</v>
      </c>
      <c r="L130" s="63" t="s">
        <v>371</v>
      </c>
      <c r="M130" s="63" t="s">
        <v>120</v>
      </c>
      <c r="N130" s="63" t="s">
        <v>196</v>
      </c>
      <c r="O130" s="64" t="s">
        <v>280</v>
      </c>
      <c r="P130" s="120">
        <v>46223</v>
      </c>
      <c r="Q130" s="116" t="s">
        <v>1223</v>
      </c>
      <c r="R130" s="159" t="s">
        <v>579</v>
      </c>
      <c r="S130" s="152">
        <v>46223</v>
      </c>
      <c r="T130" s="68">
        <f ca="1">IFERROR(IF(OR(Q130="Ejecutado",Q130="No corresponde atención OGTI",Q130="Desistido",Q130="-",Q130="Para reformulación"),"-",IF(OR(S130="-",S130=""),"Falta fecha_estado",NETWORKDAYS(S130,TODAY(),{"02/04/2026";"03/04/2026";"30/06/2026"}))),"-")</f>
        <v>10</v>
      </c>
      <c r="U130" s="69" t="s">
        <v>43</v>
      </c>
      <c r="V130" s="155" t="s">
        <v>43</v>
      </c>
      <c r="W130" s="62" t="s">
        <v>43</v>
      </c>
      <c r="X130" s="152" t="s">
        <v>43</v>
      </c>
      <c r="Y130" s="169" t="s">
        <v>43</v>
      </c>
      <c r="Z130" s="196" t="str">
        <f t="shared" ca="1" si="8"/>
        <v>En tramite</v>
      </c>
      <c r="AA130" s="173" t="s">
        <v>43</v>
      </c>
      <c r="AB130" s="74" t="s">
        <v>43</v>
      </c>
      <c r="AC130" s="157" t="str">
        <f>IFERROR(IF(OR(AA130="-",AA130="",AB130="-",AB130=""),"-",CONCATENATE('Seguimiento OIT'!AB130-'Seguimiento OIT'!AA130+1," dias")),"-")</f>
        <v>-</v>
      </c>
      <c r="AD130" s="114" t="str">
        <f t="shared" ca="1" si="15"/>
        <v>-</v>
      </c>
      <c r="AE130" s="63" t="s">
        <v>1283</v>
      </c>
      <c r="AF130" s="82" t="s">
        <v>43</v>
      </c>
      <c r="AG130" s="140" t="s">
        <v>1284</v>
      </c>
      <c r="AH130" s="218" t="s">
        <v>43</v>
      </c>
      <c r="AI130" s="219" t="str">
        <f t="shared" si="9"/>
        <v>-</v>
      </c>
      <c r="AJ130" s="219" t="str">
        <f t="shared" si="10"/>
        <v>-</v>
      </c>
      <c r="AK130" s="219" t="str">
        <f t="shared" si="11"/>
        <v>-</v>
      </c>
      <c r="AL130" s="225" t="str">
        <f t="shared" si="12"/>
        <v>-</v>
      </c>
    </row>
    <row r="131" spans="1:38" ht="44.1" customHeight="1">
      <c r="A131" s="98"/>
      <c r="B131" s="37" t="str">
        <f t="shared" ca="1" si="7"/>
        <v>NO</v>
      </c>
      <c r="C131" s="165" t="s">
        <v>43</v>
      </c>
      <c r="D131" s="61" t="s">
        <v>43</v>
      </c>
      <c r="E131" s="61" t="s">
        <v>43</v>
      </c>
      <c r="F131" s="61" t="s">
        <v>43</v>
      </c>
      <c r="G131" s="167" t="s">
        <v>43</v>
      </c>
      <c r="H131" s="60"/>
      <c r="I131" s="62"/>
      <c r="J131" s="60"/>
      <c r="K131" s="62" t="s">
        <v>43</v>
      </c>
      <c r="L131" s="63" t="s">
        <v>43</v>
      </c>
      <c r="M131" s="63" t="s">
        <v>43</v>
      </c>
      <c r="N131" s="63" t="s">
        <v>43</v>
      </c>
      <c r="O131" s="64"/>
      <c r="P131" s="120"/>
      <c r="Q131" s="116" t="s">
        <v>43</v>
      </c>
      <c r="R131" s="159" t="s">
        <v>43</v>
      </c>
      <c r="S131" s="152"/>
      <c r="T131" s="68" t="str">
        <f ca="1">IFERROR(IF(OR(Q131="Ejecutado",Q131="No corresponde atención OGTI",Q131="Desistido",Q131="-",Q131="Para reformulación"),"-",IF(OR(S131="-",S131=""),"Falta fecha_estado",NETWORKDAYS(S131,TODAY(),{"02/04/2026";"03/04/2026";"30/06/2026"}))),"-")</f>
        <v>-</v>
      </c>
      <c r="U131" s="69" t="s">
        <v>43</v>
      </c>
      <c r="V131" s="155" t="s">
        <v>43</v>
      </c>
      <c r="W131" s="62" t="s">
        <v>43</v>
      </c>
      <c r="X131" s="152" t="s">
        <v>43</v>
      </c>
      <c r="Y131" s="169" t="s">
        <v>43</v>
      </c>
      <c r="Z131" s="196" t="str">
        <f t="shared" ca="1" si="8"/>
        <v>-</v>
      </c>
      <c r="AA131" s="173" t="s">
        <v>43</v>
      </c>
      <c r="AB131" s="74" t="s">
        <v>43</v>
      </c>
      <c r="AC131" s="157" t="str">
        <f>IFERROR(IF(OR(AA131="-",AA131="",AB131="-",AB131=""),"-",CONCATENATE('Seguimiento OIT'!AB131-'Seguimiento OIT'!AA131+1," dias")),"-")</f>
        <v>-</v>
      </c>
      <c r="AD131" s="114" t="str">
        <f t="shared" ca="1" si="15"/>
        <v>-</v>
      </c>
      <c r="AE131" s="63" t="s">
        <v>43</v>
      </c>
      <c r="AF131" s="82" t="s">
        <v>43</v>
      </c>
      <c r="AG131" s="132" t="s">
        <v>43</v>
      </c>
      <c r="AH131" s="218" t="s">
        <v>43</v>
      </c>
      <c r="AI131" s="219" t="str">
        <f t="shared" si="9"/>
        <v>-</v>
      </c>
      <c r="AJ131" s="219" t="str">
        <f t="shared" si="10"/>
        <v>-</v>
      </c>
      <c r="AK131" s="219" t="str">
        <f t="shared" si="11"/>
        <v>-</v>
      </c>
      <c r="AL131" s="225" t="str">
        <f t="shared" si="12"/>
        <v>-</v>
      </c>
    </row>
    <row r="132" spans="1:38" ht="44.1" customHeight="1">
      <c r="A132" s="99"/>
      <c r="B132" s="37" t="str">
        <f t="shared" ca="1" si="7"/>
        <v>NO</v>
      </c>
      <c r="C132" s="166" t="s">
        <v>43</v>
      </c>
      <c r="D132" s="61" t="s">
        <v>43</v>
      </c>
      <c r="E132" s="88" t="s">
        <v>43</v>
      </c>
      <c r="F132" s="88" t="s">
        <v>43</v>
      </c>
      <c r="G132" s="168" t="s">
        <v>43</v>
      </c>
      <c r="H132" s="84"/>
      <c r="I132" s="83"/>
      <c r="J132" s="84"/>
      <c r="K132" s="83" t="s">
        <v>43</v>
      </c>
      <c r="L132" s="80" t="s">
        <v>43</v>
      </c>
      <c r="M132" s="80" t="s">
        <v>43</v>
      </c>
      <c r="N132" s="80" t="s">
        <v>43</v>
      </c>
      <c r="O132" s="81"/>
      <c r="P132" s="122"/>
      <c r="Q132" s="117" t="s">
        <v>43</v>
      </c>
      <c r="R132" s="132" t="s">
        <v>43</v>
      </c>
      <c r="S132" s="153"/>
      <c r="T132" s="68" t="str">
        <f ca="1">IFERROR(IF(OR(Q132="Ejecutado",Q132="No corresponde atención OGTI",Q132="Desistido",Q132="-",Q132="Para reformulación"),"-",IF(OR(S132="-",S132=""),"Falta fecha_estado",NETWORKDAYS(S132,TODAY(),{"02/04/2026";"03/04/2026";"30/06/2026"}))),"-")</f>
        <v>-</v>
      </c>
      <c r="U132" s="78" t="s">
        <v>43</v>
      </c>
      <c r="V132" s="155" t="s">
        <v>43</v>
      </c>
      <c r="W132" s="62" t="s">
        <v>43</v>
      </c>
      <c r="X132" s="152" t="s">
        <v>43</v>
      </c>
      <c r="Y132" s="171" t="s">
        <v>43</v>
      </c>
      <c r="Z132" s="196" t="str">
        <f t="shared" ca="1" si="8"/>
        <v>-</v>
      </c>
      <c r="AA132" s="173" t="s">
        <v>43</v>
      </c>
      <c r="AB132" s="74" t="s">
        <v>43</v>
      </c>
      <c r="AC132" s="157" t="str">
        <f>IFERROR(IF(OR(AA132="-",AA132="",AB132="-",AB132=""),"-",CONCATENATE('Seguimiento OIT'!AB132-'Seguimiento OIT'!AA132+1," dias")),"-")</f>
        <v>-</v>
      </c>
      <c r="AD132" s="114" t="str">
        <f t="shared" ca="1" si="13"/>
        <v>-</v>
      </c>
      <c r="AE132" s="80" t="s">
        <v>43</v>
      </c>
      <c r="AF132" s="82" t="s">
        <v>43</v>
      </c>
      <c r="AG132" s="132" t="s">
        <v>43</v>
      </c>
      <c r="AH132" s="218" t="s">
        <v>43</v>
      </c>
      <c r="AI132" s="219" t="str">
        <f t="shared" si="9"/>
        <v>-</v>
      </c>
      <c r="AJ132" s="219" t="str">
        <f t="shared" si="10"/>
        <v>-</v>
      </c>
      <c r="AK132" s="219" t="str">
        <f t="shared" si="11"/>
        <v>-</v>
      </c>
      <c r="AL132" s="225" t="str">
        <f t="shared" si="12"/>
        <v>-</v>
      </c>
    </row>
    <row r="133" spans="1:38" ht="44.1" customHeight="1">
      <c r="A133" s="99"/>
      <c r="B133" s="37" t="str">
        <f t="shared" ref="B133:B151" ca="1" si="16">IF(OR(Q133="Desistido",Q133="No corresponde Atención OGTI",Q133="Para reformulación",Q133="Paralizado",Q133="-",Z133="Renovado",AND(AH133="NO",Z133="Culminado")),"NO","SI")</f>
        <v>NO</v>
      </c>
      <c r="C133" s="166" t="s">
        <v>43</v>
      </c>
      <c r="D133" s="61" t="s">
        <v>43</v>
      </c>
      <c r="E133" s="88" t="s">
        <v>43</v>
      </c>
      <c r="F133" s="88" t="s">
        <v>43</v>
      </c>
      <c r="G133" s="168" t="s">
        <v>43</v>
      </c>
      <c r="H133" s="84"/>
      <c r="I133" s="83"/>
      <c r="J133" s="84"/>
      <c r="K133" s="83" t="s">
        <v>43</v>
      </c>
      <c r="L133" s="80" t="s">
        <v>43</v>
      </c>
      <c r="M133" s="80" t="s">
        <v>43</v>
      </c>
      <c r="N133" s="80" t="s">
        <v>43</v>
      </c>
      <c r="O133" s="81"/>
      <c r="P133" s="122"/>
      <c r="Q133" s="117" t="s">
        <v>43</v>
      </c>
      <c r="R133" s="132" t="s">
        <v>43</v>
      </c>
      <c r="S133" s="153"/>
      <c r="T133" s="68" t="str">
        <f ca="1">IFERROR(IF(OR(Q133="Ejecutado",Q133="No corresponde atención OGTI",Q133="Desistido",Q133="-",Q133="Para reformulación"),"-",IF(OR(S133="-",S133=""),"Falta fecha_estado",NETWORKDAYS(S133,TODAY(),{"02/04/2026";"03/04/2026";"30/06/2026"}))),"-")</f>
        <v>-</v>
      </c>
      <c r="U133" s="78" t="s">
        <v>43</v>
      </c>
      <c r="V133" s="155" t="s">
        <v>43</v>
      </c>
      <c r="W133" s="62" t="s">
        <v>43</v>
      </c>
      <c r="X133" s="152" t="s">
        <v>43</v>
      </c>
      <c r="Y133" s="171" t="s">
        <v>43</v>
      </c>
      <c r="Z133" s="196" t="str">
        <f t="shared" ref="Z133:Z151" ca="1" si="17">IFERROR(IF(Q133="-","-",IF(Q133="Proceso de implementación/Activación/Entrega","Proceso de implementación/Activación/Entrega",IF(OR(Q133="Desistido",Q133="No corresponde atención OGTI",Q133="Para reformulación"),Q133,IF(AND(Q133="Ejecutado",AA133="No aplica",AB133="No Aplica"),"Culminado",IF(Q133="Ejecutado",IF(AND(AC133="-",G133="Bienes"),"Culminado",IF(AC133="-","Falta informacion",IF(AND(AB133-TODAY()&gt;=0,AB133-TODAY()&lt;=90),"Vigente_por vencer",IF(AND(AH133&lt;&gt;"SI",AB133&lt;TODAY()),"Culminado",IF(AND(AH133="SI",AB133&lt;TODAY(),OR(AK133="Sin Registro",AL133="Sin Registro")),"Vencido",IF(AND(AH133="SI",AB133&lt;TODAY(),AK133&gt;AA133,AL133&gt;AB133),"Renovado","Vigente")))))),"En tramite"))))),"-")</f>
        <v>-</v>
      </c>
      <c r="AA133" s="173" t="s">
        <v>43</v>
      </c>
      <c r="AB133" s="74" t="s">
        <v>43</v>
      </c>
      <c r="AC133" s="157" t="str">
        <f>IFERROR(IF(OR(AA133="-",AA133="",AB133="-",AB133=""),"-",CONCATENATE('Seguimiento OIT'!AB133-'Seguimiento OIT'!AA133+1," dias")),"-")</f>
        <v>-</v>
      </c>
      <c r="AD133" s="114" t="str">
        <f t="shared" ca="1" si="13"/>
        <v>-</v>
      </c>
      <c r="AE133" s="80" t="s">
        <v>43</v>
      </c>
      <c r="AF133" s="82" t="s">
        <v>43</v>
      </c>
      <c r="AG133" s="132" t="s">
        <v>43</v>
      </c>
      <c r="AH133" s="218" t="s">
        <v>43</v>
      </c>
      <c r="AI133" s="219" t="str">
        <f t="shared" ref="AI133:AI151" si="18">IFERROR(IF(AH133="SI",VLOOKUP(A133,$C$4:$AL$151,15,FALSE),"-"),"Sin tramite")</f>
        <v>-</v>
      </c>
      <c r="AJ133" s="219" t="str">
        <f t="shared" ref="AJ133:AJ151" si="19">IFERROR(IF(AH133="SI",VLOOKUP(A133,$C$4:$AL$151,7,FALSE),"-"),"Sin HR")</f>
        <v>-</v>
      </c>
      <c r="AK133" s="219" t="str">
        <f t="shared" ref="AK133:AK151" si="20">IF(AH133="SI",IFERROR(IF(VLOOKUP(A133,$C$4:$AL$151,25,FALSE)="","Sin registro",VLOOKUP(A133,$C$4:$AL$151,25,FALSE)),"Sin registro"),"-")</f>
        <v>-</v>
      </c>
      <c r="AL133" s="225" t="str">
        <f t="shared" ref="AL133:AL151" si="21">IF(AH133="SI",IFERROR(IF(VLOOKUP(A133,$C$4:$AL$151,26,FALSE)="","Sin registro",VLOOKUP(A133,$C$4:$AL$151,26,FALSE)),"Sin registro"),"-")</f>
        <v>-</v>
      </c>
    </row>
    <row r="134" spans="1:38" ht="44.1" customHeight="1">
      <c r="A134" s="99"/>
      <c r="B134" s="37" t="str">
        <f t="shared" ca="1" si="16"/>
        <v>NO</v>
      </c>
      <c r="C134" s="166" t="s">
        <v>43</v>
      </c>
      <c r="D134" s="61" t="s">
        <v>43</v>
      </c>
      <c r="E134" s="88" t="s">
        <v>43</v>
      </c>
      <c r="F134" s="88" t="s">
        <v>43</v>
      </c>
      <c r="G134" s="168" t="s">
        <v>43</v>
      </c>
      <c r="H134" s="84"/>
      <c r="I134" s="83"/>
      <c r="J134" s="84"/>
      <c r="K134" s="83" t="s">
        <v>43</v>
      </c>
      <c r="L134" s="80" t="s">
        <v>43</v>
      </c>
      <c r="M134" s="80" t="s">
        <v>43</v>
      </c>
      <c r="N134" s="80" t="s">
        <v>43</v>
      </c>
      <c r="O134" s="81"/>
      <c r="P134" s="122"/>
      <c r="Q134" s="117" t="s">
        <v>43</v>
      </c>
      <c r="R134" s="132" t="s">
        <v>43</v>
      </c>
      <c r="S134" s="153"/>
      <c r="T134" s="68" t="str">
        <f ca="1">IFERROR(IF(OR(Q134="Ejecutado",Q134="No corresponde atención OGTI",Q134="Desistido",Q134="-",Q134="Para reformulación"),"-",IF(OR(S134="-",S134=""),"Falta fecha_estado",NETWORKDAYS(S134,TODAY(),{"02/04/2026";"03/04/2026";"30/06/2026"}))),"-")</f>
        <v>-</v>
      </c>
      <c r="U134" s="78" t="s">
        <v>43</v>
      </c>
      <c r="V134" s="155" t="s">
        <v>43</v>
      </c>
      <c r="W134" s="62" t="s">
        <v>43</v>
      </c>
      <c r="X134" s="152" t="s">
        <v>43</v>
      </c>
      <c r="Y134" s="171" t="s">
        <v>43</v>
      </c>
      <c r="Z134" s="196" t="str">
        <f t="shared" ca="1" si="17"/>
        <v>-</v>
      </c>
      <c r="AA134" s="173" t="s">
        <v>43</v>
      </c>
      <c r="AB134" s="74" t="s">
        <v>43</v>
      </c>
      <c r="AC134" s="157" t="str">
        <f>IFERROR(IF(OR(AA134="-",AA134="",AB134="-",AB134=""),"-",CONCATENATE('Seguimiento OIT'!AB134-'Seguimiento OIT'!AA134+1," dias")),"-")</f>
        <v>-</v>
      </c>
      <c r="AD134" s="114" t="str">
        <f t="shared" ca="1" si="13"/>
        <v>-</v>
      </c>
      <c r="AE134" s="80" t="s">
        <v>43</v>
      </c>
      <c r="AF134" s="82" t="s">
        <v>43</v>
      </c>
      <c r="AG134" s="132" t="s">
        <v>43</v>
      </c>
      <c r="AH134" s="218" t="s">
        <v>43</v>
      </c>
      <c r="AI134" s="219" t="str">
        <f t="shared" si="18"/>
        <v>-</v>
      </c>
      <c r="AJ134" s="219" t="str">
        <f t="shared" si="19"/>
        <v>-</v>
      </c>
      <c r="AK134" s="219" t="str">
        <f t="shared" si="20"/>
        <v>-</v>
      </c>
      <c r="AL134" s="225" t="str">
        <f t="shared" si="21"/>
        <v>-</v>
      </c>
    </row>
    <row r="135" spans="1:38" ht="44.1" customHeight="1">
      <c r="A135" s="99"/>
      <c r="B135" s="37" t="str">
        <f t="shared" ca="1" si="16"/>
        <v>NO</v>
      </c>
      <c r="C135" s="166" t="s">
        <v>43</v>
      </c>
      <c r="D135" s="61" t="s">
        <v>43</v>
      </c>
      <c r="E135" s="88" t="s">
        <v>43</v>
      </c>
      <c r="F135" s="88" t="s">
        <v>43</v>
      </c>
      <c r="G135" s="168" t="s">
        <v>43</v>
      </c>
      <c r="H135" s="84"/>
      <c r="I135" s="83"/>
      <c r="J135" s="84"/>
      <c r="K135" s="83" t="s">
        <v>43</v>
      </c>
      <c r="L135" s="80" t="s">
        <v>43</v>
      </c>
      <c r="M135" s="80" t="s">
        <v>43</v>
      </c>
      <c r="N135" s="80" t="s">
        <v>43</v>
      </c>
      <c r="O135" s="81"/>
      <c r="P135" s="122"/>
      <c r="Q135" s="117" t="s">
        <v>43</v>
      </c>
      <c r="R135" s="132" t="s">
        <v>43</v>
      </c>
      <c r="S135" s="153"/>
      <c r="T135" s="68" t="str">
        <f ca="1">IFERROR(IF(OR(Q135="Ejecutado",Q135="No corresponde atención OGTI",Q135="Desistido",Q135="-",Q135="Para reformulación"),"-",IF(OR(S135="-",S135=""),"Falta fecha_estado",NETWORKDAYS(S135,TODAY(),{"02/04/2026";"03/04/2026";"30/06/2026"}))),"-")</f>
        <v>-</v>
      </c>
      <c r="U135" s="78" t="s">
        <v>43</v>
      </c>
      <c r="V135" s="155" t="s">
        <v>43</v>
      </c>
      <c r="W135" s="62" t="s">
        <v>43</v>
      </c>
      <c r="X135" s="152" t="s">
        <v>43</v>
      </c>
      <c r="Y135" s="171" t="s">
        <v>43</v>
      </c>
      <c r="Z135" s="196" t="str">
        <f t="shared" ca="1" si="17"/>
        <v>-</v>
      </c>
      <c r="AA135" s="173" t="s">
        <v>43</v>
      </c>
      <c r="AB135" s="74" t="s">
        <v>43</v>
      </c>
      <c r="AC135" s="157" t="str">
        <f>IFERROR(IF(OR(AA135="-",AA135="",AB135="-",AB135=""),"-",CONCATENATE('Seguimiento OIT'!AB135-'Seguimiento OIT'!AA135+1," dias")),"-")</f>
        <v>-</v>
      </c>
      <c r="AD135" s="114" t="str">
        <f t="shared" ca="1" si="13"/>
        <v>-</v>
      </c>
      <c r="AE135" s="80" t="s">
        <v>43</v>
      </c>
      <c r="AF135" s="82" t="s">
        <v>43</v>
      </c>
      <c r="AG135" s="132" t="s">
        <v>43</v>
      </c>
      <c r="AH135" s="218" t="s">
        <v>43</v>
      </c>
      <c r="AI135" s="219" t="str">
        <f t="shared" si="18"/>
        <v>-</v>
      </c>
      <c r="AJ135" s="219" t="str">
        <f t="shared" si="19"/>
        <v>-</v>
      </c>
      <c r="AK135" s="219" t="str">
        <f t="shared" si="20"/>
        <v>-</v>
      </c>
      <c r="AL135" s="225" t="str">
        <f t="shared" si="21"/>
        <v>-</v>
      </c>
    </row>
    <row r="136" spans="1:38" ht="44.1" customHeight="1">
      <c r="A136" s="99"/>
      <c r="B136" s="37" t="str">
        <f t="shared" ca="1" si="16"/>
        <v>NO</v>
      </c>
      <c r="C136" s="166" t="s">
        <v>43</v>
      </c>
      <c r="D136" s="61" t="s">
        <v>43</v>
      </c>
      <c r="E136" s="88" t="s">
        <v>43</v>
      </c>
      <c r="F136" s="88" t="s">
        <v>43</v>
      </c>
      <c r="G136" s="168" t="s">
        <v>43</v>
      </c>
      <c r="H136" s="84"/>
      <c r="I136" s="83"/>
      <c r="J136" s="84"/>
      <c r="K136" s="83" t="s">
        <v>43</v>
      </c>
      <c r="L136" s="80" t="s">
        <v>43</v>
      </c>
      <c r="M136" s="80" t="s">
        <v>43</v>
      </c>
      <c r="N136" s="80" t="s">
        <v>43</v>
      </c>
      <c r="O136" s="81"/>
      <c r="P136" s="122"/>
      <c r="Q136" s="117" t="s">
        <v>43</v>
      </c>
      <c r="R136" s="132" t="s">
        <v>43</v>
      </c>
      <c r="S136" s="153"/>
      <c r="T136" s="68" t="str">
        <f ca="1">IFERROR(IF(OR(Q136="Ejecutado",Q136="No corresponde atención OGTI",Q136="Desistido",Q136="-",Q136="Para reformulación"),"-",IF(OR(S136="-",S136=""),"Falta fecha_estado",NETWORKDAYS(S136,TODAY(),{"02/04/2026";"03/04/2026";"30/06/2026"}))),"-")</f>
        <v>-</v>
      </c>
      <c r="U136" s="78" t="s">
        <v>43</v>
      </c>
      <c r="V136" s="155" t="s">
        <v>43</v>
      </c>
      <c r="W136" s="62" t="s">
        <v>43</v>
      </c>
      <c r="X136" s="152" t="s">
        <v>43</v>
      </c>
      <c r="Y136" s="171" t="s">
        <v>43</v>
      </c>
      <c r="Z136" s="196" t="str">
        <f t="shared" ca="1" si="17"/>
        <v>-</v>
      </c>
      <c r="AA136" s="173" t="s">
        <v>43</v>
      </c>
      <c r="AB136" s="74" t="s">
        <v>43</v>
      </c>
      <c r="AC136" s="157" t="str">
        <f>IFERROR(IF(OR(AA136="-",AA136="",AB136="-",AB136=""),"-",CONCATENATE('Seguimiento OIT'!AB136-'Seguimiento OIT'!AA136+1," dias")),"-")</f>
        <v>-</v>
      </c>
      <c r="AD136" s="114" t="str">
        <f t="shared" ca="1" si="13"/>
        <v>-</v>
      </c>
      <c r="AE136" s="80" t="s">
        <v>43</v>
      </c>
      <c r="AF136" s="82" t="s">
        <v>43</v>
      </c>
      <c r="AG136" s="132" t="s">
        <v>43</v>
      </c>
      <c r="AH136" s="218" t="s">
        <v>43</v>
      </c>
      <c r="AI136" s="219" t="str">
        <f t="shared" si="18"/>
        <v>-</v>
      </c>
      <c r="AJ136" s="219" t="str">
        <f t="shared" si="19"/>
        <v>-</v>
      </c>
      <c r="AK136" s="219" t="str">
        <f t="shared" si="20"/>
        <v>-</v>
      </c>
      <c r="AL136" s="225" t="str">
        <f t="shared" si="21"/>
        <v>-</v>
      </c>
    </row>
    <row r="137" spans="1:38" ht="44.1" customHeight="1">
      <c r="A137" s="99"/>
      <c r="B137" s="37" t="str">
        <f t="shared" ca="1" si="16"/>
        <v>NO</v>
      </c>
      <c r="C137" s="166" t="s">
        <v>43</v>
      </c>
      <c r="D137" s="61" t="s">
        <v>43</v>
      </c>
      <c r="E137" s="88" t="s">
        <v>43</v>
      </c>
      <c r="F137" s="88" t="s">
        <v>43</v>
      </c>
      <c r="G137" s="168" t="s">
        <v>43</v>
      </c>
      <c r="H137" s="84"/>
      <c r="I137" s="83"/>
      <c r="J137" s="84"/>
      <c r="K137" s="83" t="s">
        <v>43</v>
      </c>
      <c r="L137" s="80" t="s">
        <v>43</v>
      </c>
      <c r="M137" s="80" t="s">
        <v>43</v>
      </c>
      <c r="N137" s="80" t="s">
        <v>43</v>
      </c>
      <c r="O137" s="81"/>
      <c r="P137" s="122"/>
      <c r="Q137" s="117" t="s">
        <v>43</v>
      </c>
      <c r="R137" s="132" t="s">
        <v>43</v>
      </c>
      <c r="S137" s="153"/>
      <c r="T137" s="68" t="str">
        <f ca="1">IFERROR(IF(OR(Q137="Ejecutado",Q137="No corresponde atención OGTI",Q137="Desistido",Q137="-",Q137="Para reformulación"),"-",IF(OR(S137="-",S137=""),"Falta fecha_estado",NETWORKDAYS(S137,TODAY(),{"02/04/2026";"03/04/2026";"30/06/2026"}))),"-")</f>
        <v>-</v>
      </c>
      <c r="U137" s="78" t="s">
        <v>43</v>
      </c>
      <c r="V137" s="155" t="s">
        <v>43</v>
      </c>
      <c r="W137" s="62" t="s">
        <v>43</v>
      </c>
      <c r="X137" s="152" t="s">
        <v>43</v>
      </c>
      <c r="Y137" s="171" t="s">
        <v>43</v>
      </c>
      <c r="Z137" s="196" t="str">
        <f t="shared" ca="1" si="17"/>
        <v>-</v>
      </c>
      <c r="AA137" s="173" t="s">
        <v>43</v>
      </c>
      <c r="AB137" s="74" t="s">
        <v>43</v>
      </c>
      <c r="AC137" s="157" t="str">
        <f>IFERROR(IF(OR(AA137="-",AA137="",AB137="-",AB137=""),"-",CONCATENATE('Seguimiento OIT'!AB137-'Seguimiento OIT'!AA137+1," dias")),"-")</f>
        <v>-</v>
      </c>
      <c r="AD137" s="114" t="str">
        <f t="shared" ca="1" si="13"/>
        <v>-</v>
      </c>
      <c r="AE137" s="80" t="s">
        <v>43</v>
      </c>
      <c r="AF137" s="82" t="s">
        <v>43</v>
      </c>
      <c r="AG137" s="132" t="s">
        <v>43</v>
      </c>
      <c r="AH137" s="218" t="s">
        <v>43</v>
      </c>
      <c r="AI137" s="219" t="str">
        <f t="shared" si="18"/>
        <v>-</v>
      </c>
      <c r="AJ137" s="219" t="str">
        <f t="shared" si="19"/>
        <v>-</v>
      </c>
      <c r="AK137" s="219" t="str">
        <f t="shared" si="20"/>
        <v>-</v>
      </c>
      <c r="AL137" s="225" t="str">
        <f t="shared" si="21"/>
        <v>-</v>
      </c>
    </row>
    <row r="138" spans="1:38" ht="44.1" customHeight="1">
      <c r="A138" s="99"/>
      <c r="B138" s="37" t="str">
        <f t="shared" ca="1" si="16"/>
        <v>NO</v>
      </c>
      <c r="C138" s="166" t="s">
        <v>43</v>
      </c>
      <c r="D138" s="61" t="s">
        <v>43</v>
      </c>
      <c r="E138" s="88" t="s">
        <v>43</v>
      </c>
      <c r="F138" s="88" t="s">
        <v>43</v>
      </c>
      <c r="G138" s="168" t="s">
        <v>43</v>
      </c>
      <c r="H138" s="84"/>
      <c r="I138" s="83"/>
      <c r="J138" s="84"/>
      <c r="K138" s="83" t="s">
        <v>43</v>
      </c>
      <c r="L138" s="80" t="s">
        <v>43</v>
      </c>
      <c r="M138" s="80" t="s">
        <v>43</v>
      </c>
      <c r="N138" s="80" t="s">
        <v>43</v>
      </c>
      <c r="O138" s="81"/>
      <c r="P138" s="122"/>
      <c r="Q138" s="117" t="s">
        <v>43</v>
      </c>
      <c r="R138" s="132" t="s">
        <v>43</v>
      </c>
      <c r="S138" s="153"/>
      <c r="T138" s="68" t="str">
        <f ca="1">IFERROR(IF(OR(Q138="Ejecutado",Q138="No corresponde atención OGTI",Q138="Desistido",Q138="-",Q138="Para reformulación"),"-",IF(OR(S138="-",S138=""),"Falta fecha_estado",NETWORKDAYS(S138,TODAY(),{"02/04/2026";"03/04/2026";"30/06/2026"}))),"-")</f>
        <v>-</v>
      </c>
      <c r="U138" s="78" t="s">
        <v>43</v>
      </c>
      <c r="V138" s="155" t="s">
        <v>43</v>
      </c>
      <c r="W138" s="62" t="s">
        <v>43</v>
      </c>
      <c r="X138" s="152" t="s">
        <v>43</v>
      </c>
      <c r="Y138" s="171" t="s">
        <v>43</v>
      </c>
      <c r="Z138" s="196" t="str">
        <f t="shared" ca="1" si="17"/>
        <v>-</v>
      </c>
      <c r="AA138" s="173" t="s">
        <v>43</v>
      </c>
      <c r="AB138" s="74" t="s">
        <v>43</v>
      </c>
      <c r="AC138" s="157" t="str">
        <f>IFERROR(IF(OR(AA138="-",AA138="",AB138="-",AB138=""),"-",CONCATENATE('Seguimiento OIT'!AB138-'Seguimiento OIT'!AA138+1," dias")),"-")</f>
        <v>-</v>
      </c>
      <c r="AD138" s="114" t="str">
        <f t="shared" ca="1" si="13"/>
        <v>-</v>
      </c>
      <c r="AE138" s="80" t="s">
        <v>43</v>
      </c>
      <c r="AF138" s="82" t="s">
        <v>43</v>
      </c>
      <c r="AG138" s="132" t="s">
        <v>43</v>
      </c>
      <c r="AH138" s="218" t="s">
        <v>43</v>
      </c>
      <c r="AI138" s="219" t="str">
        <f t="shared" si="18"/>
        <v>-</v>
      </c>
      <c r="AJ138" s="219" t="str">
        <f t="shared" si="19"/>
        <v>-</v>
      </c>
      <c r="AK138" s="219" t="str">
        <f t="shared" si="20"/>
        <v>-</v>
      </c>
      <c r="AL138" s="225" t="str">
        <f t="shared" si="21"/>
        <v>-</v>
      </c>
    </row>
    <row r="139" spans="1:38" ht="44.1" customHeight="1">
      <c r="A139" s="99"/>
      <c r="B139" s="37" t="str">
        <f t="shared" ca="1" si="16"/>
        <v>NO</v>
      </c>
      <c r="C139" s="166" t="s">
        <v>43</v>
      </c>
      <c r="D139" s="61" t="s">
        <v>43</v>
      </c>
      <c r="E139" s="88" t="s">
        <v>43</v>
      </c>
      <c r="F139" s="88" t="s">
        <v>43</v>
      </c>
      <c r="G139" s="168" t="s">
        <v>43</v>
      </c>
      <c r="H139" s="84"/>
      <c r="I139" s="83"/>
      <c r="J139" s="84"/>
      <c r="K139" s="83" t="s">
        <v>43</v>
      </c>
      <c r="L139" s="80" t="s">
        <v>43</v>
      </c>
      <c r="M139" s="80" t="s">
        <v>43</v>
      </c>
      <c r="N139" s="80" t="s">
        <v>43</v>
      </c>
      <c r="O139" s="81"/>
      <c r="P139" s="122"/>
      <c r="Q139" s="117" t="s">
        <v>43</v>
      </c>
      <c r="R139" s="132" t="s">
        <v>43</v>
      </c>
      <c r="S139" s="153"/>
      <c r="T139" s="68" t="str">
        <f ca="1">IFERROR(IF(OR(Q139="Ejecutado",Q139="No corresponde atención OGTI",Q139="Desistido",Q139="-",Q139="Para reformulación"),"-",IF(OR(S139="-",S139=""),"Falta fecha_estado",NETWORKDAYS(S139,TODAY(),{"02/04/2026";"03/04/2026";"30/06/2026"}))),"-")</f>
        <v>-</v>
      </c>
      <c r="U139" s="78" t="s">
        <v>43</v>
      </c>
      <c r="V139" s="155" t="s">
        <v>43</v>
      </c>
      <c r="W139" s="62" t="s">
        <v>43</v>
      </c>
      <c r="X139" s="152" t="s">
        <v>43</v>
      </c>
      <c r="Y139" s="171" t="s">
        <v>43</v>
      </c>
      <c r="Z139" s="196" t="str">
        <f t="shared" ca="1" si="17"/>
        <v>-</v>
      </c>
      <c r="AA139" s="173" t="s">
        <v>43</v>
      </c>
      <c r="AB139" s="74" t="s">
        <v>43</v>
      </c>
      <c r="AC139" s="157" t="str">
        <f>IFERROR(IF(OR(AA139="-",AA139="",AB139="-",AB139=""),"-",CONCATENATE('Seguimiento OIT'!AB139-'Seguimiento OIT'!AA139+1," dias")),"-")</f>
        <v>-</v>
      </c>
      <c r="AD139" s="114" t="str">
        <f t="shared" ca="1" si="13"/>
        <v>-</v>
      </c>
      <c r="AE139" s="80" t="s">
        <v>43</v>
      </c>
      <c r="AF139" s="82" t="s">
        <v>43</v>
      </c>
      <c r="AG139" s="132" t="s">
        <v>43</v>
      </c>
      <c r="AH139" s="218" t="s">
        <v>43</v>
      </c>
      <c r="AI139" s="219" t="str">
        <f t="shared" si="18"/>
        <v>-</v>
      </c>
      <c r="AJ139" s="219" t="str">
        <f t="shared" si="19"/>
        <v>-</v>
      </c>
      <c r="AK139" s="219" t="str">
        <f t="shared" si="20"/>
        <v>-</v>
      </c>
      <c r="AL139" s="225" t="str">
        <f t="shared" si="21"/>
        <v>-</v>
      </c>
    </row>
    <row r="140" spans="1:38" ht="44.1" customHeight="1">
      <c r="A140" s="99"/>
      <c r="B140" s="37" t="str">
        <f t="shared" ca="1" si="16"/>
        <v>NO</v>
      </c>
      <c r="C140" s="166" t="s">
        <v>43</v>
      </c>
      <c r="D140" s="61" t="s">
        <v>43</v>
      </c>
      <c r="E140" s="88" t="s">
        <v>43</v>
      </c>
      <c r="F140" s="88" t="s">
        <v>43</v>
      </c>
      <c r="G140" s="168" t="s">
        <v>43</v>
      </c>
      <c r="H140" s="84"/>
      <c r="I140" s="83"/>
      <c r="J140" s="84"/>
      <c r="K140" s="83" t="s">
        <v>43</v>
      </c>
      <c r="L140" s="80" t="s">
        <v>43</v>
      </c>
      <c r="M140" s="80" t="s">
        <v>43</v>
      </c>
      <c r="N140" s="80" t="s">
        <v>43</v>
      </c>
      <c r="O140" s="81"/>
      <c r="P140" s="122"/>
      <c r="Q140" s="117" t="s">
        <v>43</v>
      </c>
      <c r="R140" s="132" t="s">
        <v>43</v>
      </c>
      <c r="S140" s="153"/>
      <c r="T140" s="68" t="str">
        <f ca="1">IFERROR(IF(OR(Q140="Ejecutado",Q140="No corresponde atención OGTI",Q140="Desistido",Q140="-",Q140="Para reformulación"),"-",IF(OR(S140="-",S140=""),"Falta fecha_estado",NETWORKDAYS(S140,TODAY(),{"02/04/2026";"03/04/2026";"30/06/2026"}))),"-")</f>
        <v>-</v>
      </c>
      <c r="U140" s="78" t="s">
        <v>43</v>
      </c>
      <c r="V140" s="155" t="s">
        <v>43</v>
      </c>
      <c r="W140" s="62" t="s">
        <v>43</v>
      </c>
      <c r="X140" s="152" t="s">
        <v>43</v>
      </c>
      <c r="Y140" s="171" t="s">
        <v>43</v>
      </c>
      <c r="Z140" s="196" t="str">
        <f t="shared" ca="1" si="17"/>
        <v>-</v>
      </c>
      <c r="AA140" s="173" t="s">
        <v>43</v>
      </c>
      <c r="AB140" s="74" t="s">
        <v>43</v>
      </c>
      <c r="AC140" s="157" t="str">
        <f>IFERROR(IF(OR(AA140="-",AA140="",AB140="-",AB140=""),"-",CONCATENATE('Seguimiento OIT'!AB140-'Seguimiento OIT'!AA140+1," dias")),"-")</f>
        <v>-</v>
      </c>
      <c r="AD140" s="114" t="str">
        <f t="shared" ca="1" si="13"/>
        <v>-</v>
      </c>
      <c r="AE140" s="80" t="s">
        <v>43</v>
      </c>
      <c r="AF140" s="82" t="s">
        <v>43</v>
      </c>
      <c r="AG140" s="132" t="s">
        <v>43</v>
      </c>
      <c r="AH140" s="218" t="s">
        <v>43</v>
      </c>
      <c r="AI140" s="219" t="str">
        <f t="shared" si="18"/>
        <v>-</v>
      </c>
      <c r="AJ140" s="219" t="str">
        <f t="shared" si="19"/>
        <v>-</v>
      </c>
      <c r="AK140" s="219" t="str">
        <f t="shared" si="20"/>
        <v>-</v>
      </c>
      <c r="AL140" s="225" t="str">
        <f t="shared" si="21"/>
        <v>-</v>
      </c>
    </row>
    <row r="141" spans="1:38" ht="44.1" customHeight="1">
      <c r="A141" s="99"/>
      <c r="B141" s="37" t="str">
        <f t="shared" ca="1" si="16"/>
        <v>NO</v>
      </c>
      <c r="C141" s="166" t="s">
        <v>43</v>
      </c>
      <c r="D141" s="61" t="s">
        <v>43</v>
      </c>
      <c r="E141" s="88" t="s">
        <v>43</v>
      </c>
      <c r="F141" s="88" t="s">
        <v>43</v>
      </c>
      <c r="G141" s="168" t="s">
        <v>43</v>
      </c>
      <c r="H141" s="84"/>
      <c r="I141" s="83"/>
      <c r="J141" s="84"/>
      <c r="K141" s="83" t="s">
        <v>43</v>
      </c>
      <c r="L141" s="80" t="s">
        <v>43</v>
      </c>
      <c r="M141" s="80" t="s">
        <v>43</v>
      </c>
      <c r="N141" s="80" t="s">
        <v>43</v>
      </c>
      <c r="O141" s="81"/>
      <c r="P141" s="122"/>
      <c r="Q141" s="117" t="s">
        <v>43</v>
      </c>
      <c r="R141" s="132" t="s">
        <v>43</v>
      </c>
      <c r="S141" s="153"/>
      <c r="T141" s="68" t="str">
        <f ca="1">IFERROR(IF(OR(Q141="Ejecutado",Q141="No corresponde atención OGTI",Q141="Desistido",Q141="-",Q141="Para reformulación"),"-",IF(OR(S141="-",S141=""),"Falta fecha_estado",NETWORKDAYS(S141,TODAY(),{"02/04/2026";"03/04/2026";"30/06/2026"}))),"-")</f>
        <v>-</v>
      </c>
      <c r="U141" s="78" t="s">
        <v>43</v>
      </c>
      <c r="V141" s="155" t="s">
        <v>43</v>
      </c>
      <c r="W141" s="62" t="s">
        <v>43</v>
      </c>
      <c r="X141" s="152" t="s">
        <v>43</v>
      </c>
      <c r="Y141" s="171" t="s">
        <v>43</v>
      </c>
      <c r="Z141" s="196" t="str">
        <f t="shared" ca="1" si="17"/>
        <v>-</v>
      </c>
      <c r="AA141" s="173" t="s">
        <v>43</v>
      </c>
      <c r="AB141" s="74" t="s">
        <v>43</v>
      </c>
      <c r="AC141" s="157" t="str">
        <f>IFERROR(IF(OR(AA141="-",AA141="",AB141="-",AB141=""),"-",CONCATENATE('Seguimiento OIT'!AB141-'Seguimiento OIT'!AA141+1," dias")),"-")</f>
        <v>-</v>
      </c>
      <c r="AD141" s="114" t="str">
        <f t="shared" ca="1" si="13"/>
        <v>-</v>
      </c>
      <c r="AE141" s="80" t="s">
        <v>43</v>
      </c>
      <c r="AF141" s="82" t="s">
        <v>43</v>
      </c>
      <c r="AG141" s="132" t="s">
        <v>43</v>
      </c>
      <c r="AH141" s="218" t="s">
        <v>43</v>
      </c>
      <c r="AI141" s="219" t="str">
        <f t="shared" si="18"/>
        <v>-</v>
      </c>
      <c r="AJ141" s="219" t="str">
        <f t="shared" si="19"/>
        <v>-</v>
      </c>
      <c r="AK141" s="219" t="str">
        <f t="shared" si="20"/>
        <v>-</v>
      </c>
      <c r="AL141" s="225" t="str">
        <f t="shared" si="21"/>
        <v>-</v>
      </c>
    </row>
    <row r="142" spans="1:38" ht="44.1" customHeight="1">
      <c r="A142" s="99"/>
      <c r="B142" s="37" t="str">
        <f t="shared" ca="1" si="16"/>
        <v>NO</v>
      </c>
      <c r="C142" s="166" t="s">
        <v>43</v>
      </c>
      <c r="D142" s="61" t="s">
        <v>43</v>
      </c>
      <c r="E142" s="88" t="s">
        <v>43</v>
      </c>
      <c r="F142" s="88" t="s">
        <v>43</v>
      </c>
      <c r="G142" s="168" t="s">
        <v>43</v>
      </c>
      <c r="H142" s="84"/>
      <c r="I142" s="83"/>
      <c r="J142" s="84"/>
      <c r="K142" s="83" t="s">
        <v>43</v>
      </c>
      <c r="L142" s="80" t="s">
        <v>43</v>
      </c>
      <c r="M142" s="80" t="s">
        <v>43</v>
      </c>
      <c r="N142" s="80" t="s">
        <v>43</v>
      </c>
      <c r="O142" s="81"/>
      <c r="P142" s="122"/>
      <c r="Q142" s="117" t="s">
        <v>43</v>
      </c>
      <c r="R142" s="132" t="s">
        <v>43</v>
      </c>
      <c r="S142" s="153"/>
      <c r="T142" s="68" t="str">
        <f ca="1">IFERROR(IF(OR(Q142="Ejecutado",Q142="No corresponde atención OGTI",Q142="Desistido",Q142="-",Q142="Para reformulación"),"-",IF(OR(S142="-",S142=""),"Falta fecha_estado",NETWORKDAYS(S142,TODAY(),{"02/04/2026";"03/04/2026";"30/06/2026"}))),"-")</f>
        <v>-</v>
      </c>
      <c r="U142" s="78" t="s">
        <v>43</v>
      </c>
      <c r="V142" s="155" t="s">
        <v>43</v>
      </c>
      <c r="W142" s="62" t="s">
        <v>43</v>
      </c>
      <c r="X142" s="152" t="s">
        <v>43</v>
      </c>
      <c r="Y142" s="171" t="s">
        <v>43</v>
      </c>
      <c r="Z142" s="196" t="str">
        <f t="shared" ca="1" si="17"/>
        <v>-</v>
      </c>
      <c r="AA142" s="173" t="s">
        <v>43</v>
      </c>
      <c r="AB142" s="74" t="s">
        <v>43</v>
      </c>
      <c r="AC142" s="157" t="str">
        <f>IFERROR(IF(OR(AA142="-",AA142="",AB142="-",AB142=""),"-",CONCATENATE('Seguimiento OIT'!AB142-'Seguimiento OIT'!AA142+1," dias")),"-")</f>
        <v>-</v>
      </c>
      <c r="AD142" s="114" t="str">
        <f t="shared" ca="1" si="13"/>
        <v>-</v>
      </c>
      <c r="AE142" s="80" t="s">
        <v>43</v>
      </c>
      <c r="AF142" s="82" t="s">
        <v>43</v>
      </c>
      <c r="AG142" s="132" t="s">
        <v>43</v>
      </c>
      <c r="AH142" s="218" t="s">
        <v>43</v>
      </c>
      <c r="AI142" s="219" t="str">
        <f t="shared" si="18"/>
        <v>-</v>
      </c>
      <c r="AJ142" s="219" t="str">
        <f t="shared" si="19"/>
        <v>-</v>
      </c>
      <c r="AK142" s="219" t="str">
        <f t="shared" si="20"/>
        <v>-</v>
      </c>
      <c r="AL142" s="225" t="str">
        <f t="shared" si="21"/>
        <v>-</v>
      </c>
    </row>
    <row r="143" spans="1:38" ht="44.1" customHeight="1">
      <c r="A143" s="99"/>
      <c r="B143" s="37" t="str">
        <f t="shared" ca="1" si="16"/>
        <v>NO</v>
      </c>
      <c r="C143" s="166" t="s">
        <v>43</v>
      </c>
      <c r="D143" s="61" t="s">
        <v>43</v>
      </c>
      <c r="E143" s="88" t="s">
        <v>43</v>
      </c>
      <c r="F143" s="88" t="s">
        <v>43</v>
      </c>
      <c r="G143" s="168" t="s">
        <v>43</v>
      </c>
      <c r="H143" s="84"/>
      <c r="I143" s="83"/>
      <c r="J143" s="84"/>
      <c r="K143" s="83" t="s">
        <v>43</v>
      </c>
      <c r="L143" s="80" t="s">
        <v>43</v>
      </c>
      <c r="M143" s="80" t="s">
        <v>43</v>
      </c>
      <c r="N143" s="80" t="s">
        <v>43</v>
      </c>
      <c r="O143" s="81"/>
      <c r="P143" s="122"/>
      <c r="Q143" s="117" t="s">
        <v>43</v>
      </c>
      <c r="R143" s="132" t="s">
        <v>43</v>
      </c>
      <c r="S143" s="153"/>
      <c r="T143" s="68" t="str">
        <f ca="1">IFERROR(IF(OR(Q143="Ejecutado",Q143="No corresponde atención OGTI",Q143="Desistido",Q143="-",Q143="Para reformulación"),"-",IF(OR(S143="-",S143=""),"Falta fecha_estado",NETWORKDAYS(S143,TODAY(),{"02/04/2026";"03/04/2026";"30/06/2026"}))),"-")</f>
        <v>-</v>
      </c>
      <c r="U143" s="78" t="s">
        <v>43</v>
      </c>
      <c r="V143" s="155" t="s">
        <v>43</v>
      </c>
      <c r="W143" s="62" t="s">
        <v>43</v>
      </c>
      <c r="X143" s="152" t="s">
        <v>43</v>
      </c>
      <c r="Y143" s="171" t="s">
        <v>43</v>
      </c>
      <c r="Z143" s="196" t="str">
        <f t="shared" ca="1" si="17"/>
        <v>-</v>
      </c>
      <c r="AA143" s="173" t="s">
        <v>43</v>
      </c>
      <c r="AB143" s="74" t="s">
        <v>43</v>
      </c>
      <c r="AC143" s="157" t="str">
        <f>IFERROR(IF(OR(AA143="-",AA143="",AB143="-",AB143=""),"-",CONCATENATE('Seguimiento OIT'!AB143-'Seguimiento OIT'!AA143+1," dias")),"-")</f>
        <v>-</v>
      </c>
      <c r="AD143" s="114" t="str">
        <f t="shared" ca="1" si="13"/>
        <v>-</v>
      </c>
      <c r="AE143" s="80" t="s">
        <v>43</v>
      </c>
      <c r="AF143" s="82" t="s">
        <v>43</v>
      </c>
      <c r="AG143" s="132" t="s">
        <v>43</v>
      </c>
      <c r="AH143" s="218" t="s">
        <v>43</v>
      </c>
      <c r="AI143" s="219" t="str">
        <f t="shared" si="18"/>
        <v>-</v>
      </c>
      <c r="AJ143" s="219" t="str">
        <f t="shared" si="19"/>
        <v>-</v>
      </c>
      <c r="AK143" s="219" t="str">
        <f t="shared" si="20"/>
        <v>-</v>
      </c>
      <c r="AL143" s="225" t="str">
        <f t="shared" si="21"/>
        <v>-</v>
      </c>
    </row>
    <row r="144" spans="1:38" ht="44.1" customHeight="1">
      <c r="A144" s="98"/>
      <c r="B144" s="37" t="str">
        <f t="shared" ca="1" si="16"/>
        <v>NO</v>
      </c>
      <c r="C144" s="165" t="s">
        <v>43</v>
      </c>
      <c r="D144" s="61" t="s">
        <v>43</v>
      </c>
      <c r="E144" s="61" t="s">
        <v>43</v>
      </c>
      <c r="F144" s="61" t="s">
        <v>43</v>
      </c>
      <c r="G144" s="167" t="s">
        <v>43</v>
      </c>
      <c r="H144" s="60"/>
      <c r="I144" s="62"/>
      <c r="J144" s="60"/>
      <c r="K144" s="62" t="s">
        <v>43</v>
      </c>
      <c r="L144" s="63" t="s">
        <v>43</v>
      </c>
      <c r="M144" s="63" t="s">
        <v>43</v>
      </c>
      <c r="N144" s="63" t="s">
        <v>43</v>
      </c>
      <c r="O144" s="64"/>
      <c r="P144" s="120"/>
      <c r="Q144" s="116" t="s">
        <v>43</v>
      </c>
      <c r="R144" s="159" t="s">
        <v>43</v>
      </c>
      <c r="S144" s="152"/>
      <c r="T144" s="68" t="str">
        <f ca="1">IFERROR(IF(OR(Q144="Ejecutado",Q144="No corresponde atención OGTI",Q144="Desistido",Q144="-",Q144="Para reformulación"),"-",IF(OR(S144="-",S144=""),"Falta fecha_estado",NETWORKDAYS(S144,TODAY(),{"02/04/2026";"03/04/2026";"30/06/2026"}))),"-")</f>
        <v>-</v>
      </c>
      <c r="U144" s="69" t="s">
        <v>43</v>
      </c>
      <c r="V144" s="155" t="s">
        <v>43</v>
      </c>
      <c r="W144" s="62" t="s">
        <v>43</v>
      </c>
      <c r="X144" s="152" t="s">
        <v>43</v>
      </c>
      <c r="Y144" s="169" t="s">
        <v>43</v>
      </c>
      <c r="Z144" s="196" t="str">
        <f t="shared" ca="1" si="17"/>
        <v>-</v>
      </c>
      <c r="AA144" s="173" t="s">
        <v>43</v>
      </c>
      <c r="AB144" s="74" t="s">
        <v>43</v>
      </c>
      <c r="AC144" s="157" t="str">
        <f>IFERROR(IF(OR(AA144="-",AA144="",AB144="-",AB144=""),"-",CONCATENATE('Seguimiento OIT'!AB144-'Seguimiento OIT'!AA144+1," dias")),"-")</f>
        <v>-</v>
      </c>
      <c r="AD144" s="114" t="str">
        <f t="shared" ca="1" si="13"/>
        <v>-</v>
      </c>
      <c r="AE144" s="63" t="s">
        <v>43</v>
      </c>
      <c r="AF144" s="82" t="s">
        <v>43</v>
      </c>
      <c r="AG144" s="132" t="s">
        <v>43</v>
      </c>
      <c r="AH144" s="218" t="s">
        <v>43</v>
      </c>
      <c r="AI144" s="219" t="str">
        <f t="shared" si="18"/>
        <v>-</v>
      </c>
      <c r="AJ144" s="219" t="str">
        <f t="shared" si="19"/>
        <v>-</v>
      </c>
      <c r="AK144" s="219" t="str">
        <f t="shared" si="20"/>
        <v>-</v>
      </c>
      <c r="AL144" s="225" t="str">
        <f t="shared" si="21"/>
        <v>-</v>
      </c>
    </row>
    <row r="145" spans="1:38" ht="44.1" customHeight="1">
      <c r="A145" s="98"/>
      <c r="B145" s="37" t="str">
        <f t="shared" ca="1" si="16"/>
        <v>NO</v>
      </c>
      <c r="C145" s="165" t="s">
        <v>43</v>
      </c>
      <c r="D145" s="61" t="s">
        <v>43</v>
      </c>
      <c r="E145" s="61" t="s">
        <v>43</v>
      </c>
      <c r="F145" s="61" t="s">
        <v>43</v>
      </c>
      <c r="G145" s="167" t="s">
        <v>43</v>
      </c>
      <c r="H145" s="60"/>
      <c r="I145" s="62"/>
      <c r="J145" s="60"/>
      <c r="K145" s="62" t="s">
        <v>43</v>
      </c>
      <c r="L145" s="63" t="s">
        <v>43</v>
      </c>
      <c r="M145" s="63" t="s">
        <v>43</v>
      </c>
      <c r="N145" s="63" t="s">
        <v>43</v>
      </c>
      <c r="O145" s="64"/>
      <c r="P145" s="120"/>
      <c r="Q145" s="116" t="s">
        <v>43</v>
      </c>
      <c r="R145" s="159" t="s">
        <v>43</v>
      </c>
      <c r="S145" s="152"/>
      <c r="T145" s="68" t="str">
        <f ca="1">IFERROR(IF(OR(Q145="Ejecutado",Q145="No corresponde atención OGTI",Q145="Desistido",Q145="-",Q145="Para reformulación"),"-",IF(OR(S145="-",S145=""),"Falta fecha_estado",NETWORKDAYS(S145,TODAY(),{"02/04/2026";"03/04/2026";"30/06/2026"}))),"-")</f>
        <v>-</v>
      </c>
      <c r="U145" s="69" t="s">
        <v>43</v>
      </c>
      <c r="V145" s="155" t="s">
        <v>43</v>
      </c>
      <c r="W145" s="62" t="s">
        <v>43</v>
      </c>
      <c r="X145" s="152" t="s">
        <v>43</v>
      </c>
      <c r="Y145" s="169" t="s">
        <v>43</v>
      </c>
      <c r="Z145" s="196" t="str">
        <f t="shared" ca="1" si="17"/>
        <v>-</v>
      </c>
      <c r="AA145" s="173" t="s">
        <v>43</v>
      </c>
      <c r="AB145" s="74" t="s">
        <v>43</v>
      </c>
      <c r="AC145" s="157" t="str">
        <f>IFERROR(IF(OR(AA145="-",AA145="",AB145="-",AB145=""),"-",CONCATENATE('Seguimiento OIT'!AB145-'Seguimiento OIT'!AA145+1," dias")),"-")</f>
        <v>-</v>
      </c>
      <c r="AD145" s="114" t="str">
        <f t="shared" ca="1" si="13"/>
        <v>-</v>
      </c>
      <c r="AE145" s="63" t="s">
        <v>43</v>
      </c>
      <c r="AF145" s="82" t="s">
        <v>43</v>
      </c>
      <c r="AG145" s="132" t="s">
        <v>43</v>
      </c>
      <c r="AH145" s="218" t="s">
        <v>43</v>
      </c>
      <c r="AI145" s="219" t="str">
        <f t="shared" si="18"/>
        <v>-</v>
      </c>
      <c r="AJ145" s="219" t="str">
        <f t="shared" si="19"/>
        <v>-</v>
      </c>
      <c r="AK145" s="219" t="str">
        <f t="shared" si="20"/>
        <v>-</v>
      </c>
      <c r="AL145" s="225" t="str">
        <f t="shared" si="21"/>
        <v>-</v>
      </c>
    </row>
    <row r="146" spans="1:38" ht="44.1" customHeight="1">
      <c r="A146" s="98"/>
      <c r="B146" s="37" t="str">
        <f t="shared" ca="1" si="16"/>
        <v>NO</v>
      </c>
      <c r="C146" s="165" t="s">
        <v>43</v>
      </c>
      <c r="D146" s="61" t="s">
        <v>43</v>
      </c>
      <c r="E146" s="61" t="s">
        <v>43</v>
      </c>
      <c r="F146" s="61" t="s">
        <v>43</v>
      </c>
      <c r="G146" s="167" t="s">
        <v>43</v>
      </c>
      <c r="H146" s="60"/>
      <c r="I146" s="62"/>
      <c r="J146" s="60"/>
      <c r="K146" s="62" t="s">
        <v>43</v>
      </c>
      <c r="L146" s="63" t="s">
        <v>43</v>
      </c>
      <c r="M146" s="63" t="s">
        <v>43</v>
      </c>
      <c r="N146" s="63" t="s">
        <v>43</v>
      </c>
      <c r="O146" s="64"/>
      <c r="P146" s="120"/>
      <c r="Q146" s="116" t="s">
        <v>43</v>
      </c>
      <c r="R146" s="159" t="s">
        <v>43</v>
      </c>
      <c r="S146" s="152"/>
      <c r="T146" s="68" t="str">
        <f ca="1">IFERROR(IF(OR(Q146="Ejecutado",Q146="No corresponde atención OGTI",Q146="Desistido",Q146="-",Q146="Para reformulación"),"-",IF(OR(S146="-",S146=""),"Falta fecha_estado",NETWORKDAYS(S146,TODAY(),{"02/04/2026";"03/04/2026";"30/06/2026"}))),"-")</f>
        <v>-</v>
      </c>
      <c r="U146" s="69" t="s">
        <v>43</v>
      </c>
      <c r="V146" s="155" t="s">
        <v>43</v>
      </c>
      <c r="W146" s="62" t="s">
        <v>43</v>
      </c>
      <c r="X146" s="152" t="s">
        <v>43</v>
      </c>
      <c r="Y146" s="169" t="s">
        <v>43</v>
      </c>
      <c r="Z146" s="196" t="str">
        <f t="shared" ca="1" si="17"/>
        <v>-</v>
      </c>
      <c r="AA146" s="173" t="s">
        <v>43</v>
      </c>
      <c r="AB146" s="74" t="s">
        <v>43</v>
      </c>
      <c r="AC146" s="157" t="str">
        <f>IFERROR(IF(OR(AA146="-",AA146="",AB146="-",AB146=""),"-",CONCATENATE('Seguimiento OIT'!AB146-'Seguimiento OIT'!AA146+1," dias")),"-")</f>
        <v>-</v>
      </c>
      <c r="AD146" s="114" t="str">
        <f t="shared" ca="1" si="13"/>
        <v>-</v>
      </c>
      <c r="AE146" s="63" t="s">
        <v>43</v>
      </c>
      <c r="AF146" s="82" t="s">
        <v>43</v>
      </c>
      <c r="AG146" s="132" t="s">
        <v>43</v>
      </c>
      <c r="AH146" s="218" t="s">
        <v>43</v>
      </c>
      <c r="AI146" s="219" t="str">
        <f t="shared" si="18"/>
        <v>-</v>
      </c>
      <c r="AJ146" s="219" t="str">
        <f t="shared" si="19"/>
        <v>-</v>
      </c>
      <c r="AK146" s="219" t="str">
        <f t="shared" si="20"/>
        <v>-</v>
      </c>
      <c r="AL146" s="225" t="str">
        <f t="shared" si="21"/>
        <v>-</v>
      </c>
    </row>
    <row r="147" spans="1:38" ht="44.1" customHeight="1">
      <c r="A147" s="98"/>
      <c r="B147" s="37" t="str">
        <f t="shared" ca="1" si="16"/>
        <v>NO</v>
      </c>
      <c r="C147" s="165" t="s">
        <v>43</v>
      </c>
      <c r="D147" s="61" t="s">
        <v>43</v>
      </c>
      <c r="E147" s="61" t="s">
        <v>43</v>
      </c>
      <c r="F147" s="61" t="s">
        <v>43</v>
      </c>
      <c r="G147" s="167" t="s">
        <v>43</v>
      </c>
      <c r="H147" s="60"/>
      <c r="I147" s="62"/>
      <c r="J147" s="60"/>
      <c r="K147" s="62" t="s">
        <v>43</v>
      </c>
      <c r="L147" s="63" t="s">
        <v>43</v>
      </c>
      <c r="M147" s="63" t="s">
        <v>43</v>
      </c>
      <c r="N147" s="63" t="s">
        <v>43</v>
      </c>
      <c r="O147" s="64"/>
      <c r="P147" s="120"/>
      <c r="Q147" s="116" t="s">
        <v>43</v>
      </c>
      <c r="R147" s="159" t="s">
        <v>43</v>
      </c>
      <c r="S147" s="152"/>
      <c r="T147" s="68" t="str">
        <f ca="1">IFERROR(IF(OR(Q147="Ejecutado",Q147="No corresponde atención OGTI",Q147="Desistido",Q147="-",Q147="Para reformulación"),"-",IF(OR(S147="-",S147=""),"Falta fecha_estado",NETWORKDAYS(S147,TODAY(),{"02/04/2026";"03/04/2026";"30/06/2026"}))),"-")</f>
        <v>-</v>
      </c>
      <c r="U147" s="69" t="s">
        <v>43</v>
      </c>
      <c r="V147" s="155" t="s">
        <v>43</v>
      </c>
      <c r="W147" s="62" t="s">
        <v>43</v>
      </c>
      <c r="X147" s="152" t="s">
        <v>43</v>
      </c>
      <c r="Y147" s="169" t="s">
        <v>43</v>
      </c>
      <c r="Z147" s="196" t="str">
        <f t="shared" ca="1" si="17"/>
        <v>-</v>
      </c>
      <c r="AA147" s="173" t="s">
        <v>43</v>
      </c>
      <c r="AB147" s="74" t="s">
        <v>43</v>
      </c>
      <c r="AC147" s="157" t="str">
        <f>IFERROR(IF(OR(AA147="-",AA147="",AB147="-",AB147=""),"-",CONCATENATE('Seguimiento OIT'!AB147-'Seguimiento OIT'!AA147+1," dias")),"-")</f>
        <v>-</v>
      </c>
      <c r="AD147" s="114" t="str">
        <f t="shared" ca="1" si="13"/>
        <v>-</v>
      </c>
      <c r="AE147" s="63" t="s">
        <v>43</v>
      </c>
      <c r="AF147" s="82" t="s">
        <v>43</v>
      </c>
      <c r="AG147" s="132" t="s">
        <v>43</v>
      </c>
      <c r="AH147" s="218" t="s">
        <v>43</v>
      </c>
      <c r="AI147" s="219" t="str">
        <f t="shared" si="18"/>
        <v>-</v>
      </c>
      <c r="AJ147" s="219" t="str">
        <f t="shared" si="19"/>
        <v>-</v>
      </c>
      <c r="AK147" s="219" t="str">
        <f t="shared" si="20"/>
        <v>-</v>
      </c>
      <c r="AL147" s="225" t="str">
        <f t="shared" si="21"/>
        <v>-</v>
      </c>
    </row>
    <row r="148" spans="1:38" ht="44.1" customHeight="1">
      <c r="A148" s="98"/>
      <c r="B148" s="37" t="str">
        <f t="shared" ca="1" si="16"/>
        <v>NO</v>
      </c>
      <c r="C148" s="165" t="s">
        <v>43</v>
      </c>
      <c r="D148" s="61" t="s">
        <v>43</v>
      </c>
      <c r="E148" s="61" t="s">
        <v>43</v>
      </c>
      <c r="F148" s="61" t="s">
        <v>43</v>
      </c>
      <c r="G148" s="167" t="s">
        <v>43</v>
      </c>
      <c r="H148" s="60"/>
      <c r="I148" s="62"/>
      <c r="J148" s="60"/>
      <c r="K148" s="62" t="s">
        <v>43</v>
      </c>
      <c r="L148" s="63" t="s">
        <v>43</v>
      </c>
      <c r="M148" s="63" t="s">
        <v>43</v>
      </c>
      <c r="N148" s="63" t="s">
        <v>43</v>
      </c>
      <c r="O148" s="64"/>
      <c r="P148" s="120"/>
      <c r="Q148" s="116" t="s">
        <v>43</v>
      </c>
      <c r="R148" s="159" t="s">
        <v>43</v>
      </c>
      <c r="S148" s="152"/>
      <c r="T148" s="68" t="str">
        <f ca="1">IFERROR(IF(OR(Q148="Ejecutado",Q148="No corresponde atención OGTI",Q148="Desistido",Q148="-",Q148="Para reformulación"),"-",IF(OR(S148="-",S148=""),"Falta fecha_estado",NETWORKDAYS(S148,TODAY(),{"02/04/2026";"03/04/2026";"30/06/2026"}))),"-")</f>
        <v>-</v>
      </c>
      <c r="U148" s="69" t="s">
        <v>43</v>
      </c>
      <c r="V148" s="155" t="s">
        <v>43</v>
      </c>
      <c r="W148" s="62" t="s">
        <v>43</v>
      </c>
      <c r="X148" s="152" t="s">
        <v>43</v>
      </c>
      <c r="Y148" s="169" t="s">
        <v>43</v>
      </c>
      <c r="Z148" s="196" t="str">
        <f t="shared" ca="1" si="17"/>
        <v>-</v>
      </c>
      <c r="AA148" s="173" t="s">
        <v>43</v>
      </c>
      <c r="AB148" s="74" t="s">
        <v>43</v>
      </c>
      <c r="AC148" s="157" t="str">
        <f>IFERROR(IF(OR(AA148="-",AA148="",AB148="-",AB148=""),"-",CONCATENATE('Seguimiento OIT'!AB148-'Seguimiento OIT'!AA148+1," dias")),"-")</f>
        <v>-</v>
      </c>
      <c r="AD148" s="114" t="str">
        <f t="shared" ca="1" si="13"/>
        <v>-</v>
      </c>
      <c r="AE148" s="63" t="s">
        <v>43</v>
      </c>
      <c r="AF148" s="82" t="s">
        <v>43</v>
      </c>
      <c r="AG148" s="132" t="s">
        <v>43</v>
      </c>
      <c r="AH148" s="218" t="s">
        <v>43</v>
      </c>
      <c r="AI148" s="219" t="str">
        <f t="shared" si="18"/>
        <v>-</v>
      </c>
      <c r="AJ148" s="219" t="str">
        <f t="shared" si="19"/>
        <v>-</v>
      </c>
      <c r="AK148" s="219" t="str">
        <f t="shared" si="20"/>
        <v>-</v>
      </c>
      <c r="AL148" s="225" t="str">
        <f t="shared" si="21"/>
        <v>-</v>
      </c>
    </row>
    <row r="149" spans="1:38" ht="44.1" customHeight="1">
      <c r="A149" s="98"/>
      <c r="B149" s="37" t="str">
        <f t="shared" ca="1" si="16"/>
        <v>NO</v>
      </c>
      <c r="C149" s="165" t="s">
        <v>43</v>
      </c>
      <c r="D149" s="61" t="s">
        <v>43</v>
      </c>
      <c r="E149" s="61" t="s">
        <v>43</v>
      </c>
      <c r="F149" s="61" t="s">
        <v>43</v>
      </c>
      <c r="G149" s="167" t="s">
        <v>43</v>
      </c>
      <c r="H149" s="60"/>
      <c r="I149" s="62"/>
      <c r="J149" s="60"/>
      <c r="K149" s="62" t="s">
        <v>43</v>
      </c>
      <c r="L149" s="63" t="s">
        <v>43</v>
      </c>
      <c r="M149" s="63" t="s">
        <v>43</v>
      </c>
      <c r="N149" s="63" t="s">
        <v>43</v>
      </c>
      <c r="O149" s="64"/>
      <c r="P149" s="120"/>
      <c r="Q149" s="116" t="s">
        <v>43</v>
      </c>
      <c r="R149" s="159" t="s">
        <v>43</v>
      </c>
      <c r="S149" s="152"/>
      <c r="T149" s="68" t="str">
        <f ca="1">IFERROR(IF(OR(Q149="Ejecutado",Q149="No corresponde atención OGTI",Q149="Desistido",Q149="-",Q149="Para reformulación"),"-",IF(OR(S149="-",S149=""),"Falta fecha_estado",NETWORKDAYS(S149,TODAY(),{"02/04/2026";"03/04/2026";"30/06/2026"}))),"-")</f>
        <v>-</v>
      </c>
      <c r="U149" s="69" t="s">
        <v>43</v>
      </c>
      <c r="V149" s="155" t="s">
        <v>43</v>
      </c>
      <c r="W149" s="62" t="s">
        <v>43</v>
      </c>
      <c r="X149" s="152" t="s">
        <v>43</v>
      </c>
      <c r="Y149" s="169" t="s">
        <v>43</v>
      </c>
      <c r="Z149" s="196" t="str">
        <f t="shared" ca="1" si="17"/>
        <v>-</v>
      </c>
      <c r="AA149" s="173" t="s">
        <v>43</v>
      </c>
      <c r="AB149" s="74" t="s">
        <v>43</v>
      </c>
      <c r="AC149" s="157" t="str">
        <f>IFERROR(IF(OR(AA149="-",AA149="",AB149="-",AB149=""),"-",CONCATENATE('Seguimiento OIT'!AB149-'Seguimiento OIT'!AA149+1," dias")),"-")</f>
        <v>-</v>
      </c>
      <c r="AD149" s="114" t="str">
        <f t="shared" ca="1" si="13"/>
        <v>-</v>
      </c>
      <c r="AE149" s="63" t="s">
        <v>43</v>
      </c>
      <c r="AF149" s="82" t="s">
        <v>43</v>
      </c>
      <c r="AG149" s="132" t="s">
        <v>43</v>
      </c>
      <c r="AH149" s="218" t="s">
        <v>43</v>
      </c>
      <c r="AI149" s="219" t="str">
        <f t="shared" si="18"/>
        <v>-</v>
      </c>
      <c r="AJ149" s="219" t="str">
        <f t="shared" si="19"/>
        <v>-</v>
      </c>
      <c r="AK149" s="219" t="str">
        <f t="shared" si="20"/>
        <v>-</v>
      </c>
      <c r="AL149" s="225" t="str">
        <f t="shared" si="21"/>
        <v>-</v>
      </c>
    </row>
    <row r="150" spans="1:38" ht="44.1" customHeight="1">
      <c r="A150" s="98"/>
      <c r="B150" s="37" t="str">
        <f t="shared" ca="1" si="16"/>
        <v>NO</v>
      </c>
      <c r="C150" s="165" t="s">
        <v>43</v>
      </c>
      <c r="D150" s="61" t="s">
        <v>43</v>
      </c>
      <c r="E150" s="61" t="s">
        <v>43</v>
      </c>
      <c r="F150" s="61" t="s">
        <v>43</v>
      </c>
      <c r="G150" s="167" t="s">
        <v>43</v>
      </c>
      <c r="H150" s="60"/>
      <c r="I150" s="62"/>
      <c r="J150" s="60"/>
      <c r="K150" s="62" t="s">
        <v>43</v>
      </c>
      <c r="L150" s="63" t="s">
        <v>43</v>
      </c>
      <c r="M150" s="63" t="s">
        <v>43</v>
      </c>
      <c r="N150" s="63" t="s">
        <v>43</v>
      </c>
      <c r="O150" s="64"/>
      <c r="P150" s="120"/>
      <c r="Q150" s="116" t="s">
        <v>43</v>
      </c>
      <c r="R150" s="159" t="s">
        <v>43</v>
      </c>
      <c r="S150" s="152"/>
      <c r="T150" s="68" t="str">
        <f ca="1">IFERROR(IF(OR(Q150="Ejecutado",Q150="No corresponde atención OGTI",Q150="Desistido",Q150="-",Q150="Para reformulación"),"-",IF(OR(S150="-",S150=""),"Falta fecha_estado",NETWORKDAYS(S150,TODAY(),{"02/04/2026";"03/04/2026";"30/06/2026"}))),"-")</f>
        <v>-</v>
      </c>
      <c r="U150" s="69" t="s">
        <v>43</v>
      </c>
      <c r="V150" s="155" t="s">
        <v>43</v>
      </c>
      <c r="W150" s="62" t="s">
        <v>43</v>
      </c>
      <c r="X150" s="152" t="s">
        <v>43</v>
      </c>
      <c r="Y150" s="169" t="s">
        <v>43</v>
      </c>
      <c r="Z150" s="196" t="str">
        <f t="shared" ca="1" si="17"/>
        <v>-</v>
      </c>
      <c r="AA150" s="173" t="s">
        <v>43</v>
      </c>
      <c r="AB150" s="74" t="s">
        <v>43</v>
      </c>
      <c r="AC150" s="157" t="str">
        <f>IFERROR(IF(OR(AA150="-",AA150="",AB150="-",AB150=""),"-",CONCATENATE('Seguimiento OIT'!AB150-'Seguimiento OIT'!AA150+1," dias")),"-")</f>
        <v>-</v>
      </c>
      <c r="AD150" s="114" t="str">
        <f t="shared" ca="1" si="13"/>
        <v>-</v>
      </c>
      <c r="AE150" s="63" t="s">
        <v>43</v>
      </c>
      <c r="AF150" s="82" t="s">
        <v>43</v>
      </c>
      <c r="AG150" s="132" t="s">
        <v>43</v>
      </c>
      <c r="AH150" s="218" t="s">
        <v>43</v>
      </c>
      <c r="AI150" s="219" t="str">
        <f t="shared" si="18"/>
        <v>-</v>
      </c>
      <c r="AJ150" s="219" t="str">
        <f t="shared" si="19"/>
        <v>-</v>
      </c>
      <c r="AK150" s="219" t="str">
        <f t="shared" si="20"/>
        <v>-</v>
      </c>
      <c r="AL150" s="225" t="str">
        <f t="shared" si="21"/>
        <v>-</v>
      </c>
    </row>
    <row r="151" spans="1:38" ht="44.1" customHeight="1" thickBot="1">
      <c r="A151" s="100"/>
      <c r="B151" s="37" t="str">
        <f t="shared" ca="1" si="16"/>
        <v>NO</v>
      </c>
      <c r="C151" s="124" t="s">
        <v>43</v>
      </c>
      <c r="D151" s="61" t="s">
        <v>43</v>
      </c>
      <c r="E151" s="164" t="s">
        <v>43</v>
      </c>
      <c r="F151" s="164" t="s">
        <v>43</v>
      </c>
      <c r="G151" s="103" t="s">
        <v>43</v>
      </c>
      <c r="H151" s="102"/>
      <c r="I151" s="101"/>
      <c r="J151" s="102"/>
      <c r="K151" s="101" t="s">
        <v>43</v>
      </c>
      <c r="L151" s="104" t="s">
        <v>43</v>
      </c>
      <c r="M151" s="104" t="s">
        <v>43</v>
      </c>
      <c r="N151" s="104" t="s">
        <v>43</v>
      </c>
      <c r="O151" s="105"/>
      <c r="P151" s="123"/>
      <c r="Q151" s="118" t="s">
        <v>43</v>
      </c>
      <c r="R151" s="106" t="s">
        <v>43</v>
      </c>
      <c r="S151" s="101"/>
      <c r="T151" s="156" t="str">
        <f ca="1">IFERROR(IF(OR(Q151="Ejecutado",Q151="No corresponde atención OGTI",Q151="Desistido",Q151="-",Q151="Para reformulación"),"-",IF(OR(S151="-",S151=""),"Falta fecha_estado",NETWORKDAYS(S151,TODAY(),{"02/04/2026";"03/04/2026";"30/06/2026"}))),"-")</f>
        <v>-</v>
      </c>
      <c r="U151" s="160" t="s">
        <v>43</v>
      </c>
      <c r="V151" s="106" t="s">
        <v>43</v>
      </c>
      <c r="W151" s="101" t="s">
        <v>43</v>
      </c>
      <c r="X151" s="107" t="s">
        <v>43</v>
      </c>
      <c r="Y151" s="172" t="s">
        <v>43</v>
      </c>
      <c r="Z151" s="196" t="str">
        <f t="shared" ca="1" si="17"/>
        <v>-</v>
      </c>
      <c r="AA151" s="175" t="s">
        <v>43</v>
      </c>
      <c r="AB151" s="149" t="s">
        <v>43</v>
      </c>
      <c r="AC151" s="113" t="str">
        <f>IFERROR(IF(OR(AA151="-",AA151="",AB151="-",AB151=""),"-",CONCATENATE('Seguimiento OIT'!AB151-'Seguimiento OIT'!AA151+1," dias")),"-")</f>
        <v>-</v>
      </c>
      <c r="AD151" s="119" t="str">
        <f t="shared" ca="1" si="13"/>
        <v>-</v>
      </c>
      <c r="AE151" s="104" t="s">
        <v>43</v>
      </c>
      <c r="AF151" s="108" t="s">
        <v>43</v>
      </c>
      <c r="AG151" s="147" t="s">
        <v>43</v>
      </c>
      <c r="AH151" s="220" t="s">
        <v>43</v>
      </c>
      <c r="AI151" s="221" t="str">
        <f t="shared" si="18"/>
        <v>-</v>
      </c>
      <c r="AJ151" s="221" t="str">
        <f t="shared" si="19"/>
        <v>-</v>
      </c>
      <c r="AK151" s="221" t="str">
        <f t="shared" si="20"/>
        <v>-</v>
      </c>
      <c r="AL151" s="222" t="str">
        <f t="shared" si="21"/>
        <v>-</v>
      </c>
    </row>
    <row r="155" spans="1:38">
      <c r="O155" s="128"/>
      <c r="AA155" s="115"/>
    </row>
    <row r="156" spans="1:38">
      <c r="AA156" s="115"/>
    </row>
    <row r="160" spans="1:38">
      <c r="Y160" s="115"/>
      <c r="Z160" s="115"/>
    </row>
  </sheetData>
  <autoFilter ref="A3:AM151" xr:uid="{4F119EDB-E2CC-4E42-A4EB-DB267B9B28C9}"/>
  <mergeCells count="4">
    <mergeCell ref="Q2:AG2"/>
    <mergeCell ref="A2:P2"/>
    <mergeCell ref="A1:AL1"/>
    <mergeCell ref="AH2:AL2"/>
  </mergeCells>
  <phoneticPr fontId="15" type="noConversion"/>
  <conditionalFormatting sqref="A9:A1048576 A1:A7">
    <cfRule type="duplicateValues" dxfId="23" priority="18"/>
  </conditionalFormatting>
  <conditionalFormatting sqref="C121">
    <cfRule type="duplicateValues" dxfId="22" priority="1"/>
  </conditionalFormatting>
  <conditionalFormatting sqref="C62:D62">
    <cfRule type="duplicateValues" dxfId="21" priority="3"/>
  </conditionalFormatting>
  <conditionalFormatting sqref="O4:O151">
    <cfRule type="cellIs" dxfId="20" priority="9" operator="equal">
      <formula>"-"</formula>
    </cfRule>
    <cfRule type="cellIs" dxfId="19" priority="15" operator="notBetween">
      <formula>0</formula>
      <formula>1000000000</formula>
    </cfRule>
  </conditionalFormatting>
  <conditionalFormatting sqref="Q4:Q151">
    <cfRule type="containsText" dxfId="18" priority="2" operator="containsText" text="Finalizado">
      <formula>NOT(ISERROR(SEARCH("Finalizado",Q4)))</formula>
    </cfRule>
    <cfRule type="cellIs" dxfId="17" priority="4" operator="equal">
      <formula>"-"</formula>
    </cfRule>
    <cfRule type="expression" dxfId="16" priority="5">
      <formula>OR(Q4="Desistido",Q4="No corresponde atención OGTI",Q4="Para reformulación")</formula>
    </cfRule>
    <cfRule type="cellIs" dxfId="15" priority="6" operator="notEqual">
      <formula>"Ejecutado"</formula>
    </cfRule>
    <cfRule type="containsText" dxfId="14" priority="7" operator="containsText" text="Ejecutado">
      <formula>NOT(ISERROR(SEARCH("Ejecutado",Q4)))</formula>
    </cfRule>
  </conditionalFormatting>
  <dataValidations disablePrompts="1" count="3">
    <dataValidation type="list" allowBlank="1" showInputMessage="1" showErrorMessage="1" sqref="G4:G151" xr:uid="{4A9A7CEB-792D-4675-82A1-6A38D6292C6E}">
      <formula1>"Bienes,Servicios,Bienes y Servicios,-"</formula1>
    </dataValidation>
    <dataValidation type="list" allowBlank="1" showInputMessage="1" showErrorMessage="1" sqref="AH4:AH151" xr:uid="{599B12B4-1AB7-4AAD-BC92-E34A1DA49596}">
      <formula1>"-,SI,NO"</formula1>
    </dataValidation>
    <dataValidation type="list" allowBlank="1" showInputMessage="1" showErrorMessage="1" sqref="D4:D151" xr:uid="{0EE6238F-975B-4C15-9057-F0B0ED5DC1A4}">
      <formula1>"NO,2026,-"</formula1>
    </dataValidation>
  </dataValidations>
  <hyperlinks>
    <hyperlink ref="AG4" r:id="rId1" xr:uid="{5506E5EF-948D-423A-A73D-1E5620D5FD8C}"/>
    <hyperlink ref="AG5" r:id="rId2" xr:uid="{2934E44D-395E-4067-8436-191357C355D5}"/>
    <hyperlink ref="AG6" r:id="rId3" xr:uid="{195E6161-5153-4CA8-B7D1-076EA38B9239}"/>
    <hyperlink ref="AG7" r:id="rId4" xr:uid="{BD0533F4-579C-477C-A959-25D81B0BCB1A}"/>
    <hyperlink ref="AG8" r:id="rId5" xr:uid="{7FB5902F-898A-4F3F-A2E3-705AE5C7D73B}"/>
    <hyperlink ref="AG9" r:id="rId6" xr:uid="{641D8982-D077-4D3A-A77E-654A22B11EDC}"/>
    <hyperlink ref="AG10" r:id="rId7" xr:uid="{45BACA46-A414-4A1C-8BA2-C2E0B3586A00}"/>
    <hyperlink ref="AG11" r:id="rId8" xr:uid="{22128CB7-4E7E-46E9-89D7-2A99BB275BE7}"/>
    <hyperlink ref="AG12" r:id="rId9" xr:uid="{B739D3F5-9F02-4B93-8101-F85C99F8F691}"/>
    <hyperlink ref="AG13" r:id="rId10" xr:uid="{222B2BAC-FA67-4773-A824-2C48216389A0}"/>
    <hyperlink ref="AG14" r:id="rId11" xr:uid="{277D6D4C-3C74-4FEA-ADDC-DC01315B9904}"/>
    <hyperlink ref="AG15" r:id="rId12" xr:uid="{91646F44-9CF2-447B-B2C7-261FCAA02C07}"/>
    <hyperlink ref="AG16" r:id="rId13" xr:uid="{84DC5439-8ED2-464C-96D6-214C5CDDD7D3}"/>
    <hyperlink ref="AG17" r:id="rId14" xr:uid="{886270FB-662D-4F3E-A3A6-B36E2BC5CE7C}"/>
    <hyperlink ref="AG18" r:id="rId15" xr:uid="{D65D0692-F432-4B95-8A6B-9DE7E84FC74D}"/>
    <hyperlink ref="AG19" r:id="rId16" xr:uid="{86974FFF-3227-412A-8F9A-434DAC94A877}"/>
    <hyperlink ref="AG20" r:id="rId17" xr:uid="{75C90BF7-492D-4CDF-B1F5-5AB45D322806}"/>
    <hyperlink ref="AG21" r:id="rId18" xr:uid="{CCBD2BF9-68C3-44E8-B07A-62F20EC133AB}"/>
    <hyperlink ref="AG22" r:id="rId19" xr:uid="{C3025FF5-4538-4D10-8454-CED60783EB13}"/>
    <hyperlink ref="AG23" r:id="rId20" xr:uid="{8976A6DE-4C4D-4C4D-9CE6-C29FF2E92B3F}"/>
    <hyperlink ref="AG25" r:id="rId21" xr:uid="{7B41E37F-153B-4781-A96D-02ACF305FD5C}"/>
    <hyperlink ref="AG26" r:id="rId22" xr:uid="{56A17A69-0B9A-4F62-84BE-B4B744B8B51F}"/>
    <hyperlink ref="AG27" r:id="rId23" xr:uid="{C2E89657-6A54-422C-936B-7963184C3EA7}"/>
    <hyperlink ref="AG28" r:id="rId24" xr:uid="{FAD5DA9F-906D-4172-8D00-2020A30EE40B}"/>
    <hyperlink ref="AG29" r:id="rId25" xr:uid="{3F75E212-DDDB-4F38-BA2C-28A1EF142A25}"/>
    <hyperlink ref="AG30" r:id="rId26" xr:uid="{27FB4263-6BCB-4E56-A94B-504CDCB7CD26}"/>
    <hyperlink ref="AG31" r:id="rId27" xr:uid="{B23E50C7-0D3E-4D57-A473-E2F0E8AF6C85}"/>
    <hyperlink ref="AG32" r:id="rId28" xr:uid="{7E561A4C-49AD-430C-BB40-7303967695EB}"/>
    <hyperlink ref="AG34" r:id="rId29" xr:uid="{C0B4789A-0EB5-4B73-A84D-EE0C328BC602}"/>
    <hyperlink ref="AG35" r:id="rId30" xr:uid="{1431D1CA-3792-4123-AFC8-0C0EAA8A42CC}"/>
    <hyperlink ref="AG37" r:id="rId31" xr:uid="{C654F211-05E9-49CD-B893-F1C3CDC06770}"/>
    <hyperlink ref="AG24" r:id="rId32" xr:uid="{FAD52E4D-12DC-476C-A04B-512A3E88FE17}"/>
    <hyperlink ref="AG38" r:id="rId33" xr:uid="{8088195A-5263-438D-ABA1-1A2841CCCC58}"/>
    <hyperlink ref="AG39" r:id="rId34" xr:uid="{C28CB6B2-73D9-45A4-8CEC-DEB109E5B117}"/>
    <hyperlink ref="AG40" r:id="rId35" xr:uid="{161A0FCE-9DA4-44F3-92D1-E889852A28EF}"/>
    <hyperlink ref="AG41" r:id="rId36" xr:uid="{9D67A236-00E4-494F-946E-F793093A903F}"/>
    <hyperlink ref="AG33" r:id="rId37" xr:uid="{A5A2428D-FF0E-402F-AA71-75336FA3F478}"/>
    <hyperlink ref="AG44" r:id="rId38" xr:uid="{9E06938E-F7AA-49C1-98B4-21A99D008476}"/>
    <hyperlink ref="AG45" r:id="rId39" xr:uid="{87062CEA-A606-4E18-B039-E18A2A789D8F}"/>
    <hyperlink ref="AG47" r:id="rId40" xr:uid="{EA37977C-170D-4EC0-860F-246611E18A9F}"/>
    <hyperlink ref="AG48" r:id="rId41" xr:uid="{465A6239-3328-4F57-981A-166918C3EBF7}"/>
    <hyperlink ref="AG49" r:id="rId42" xr:uid="{6AD1CD38-BB31-47E1-9AB6-C5FD5C3E60A3}"/>
    <hyperlink ref="AG50" r:id="rId43" xr:uid="{3FF3B9DE-63E7-49FA-B8C4-DAA3D94B903E}"/>
    <hyperlink ref="AG51" r:id="rId44" xr:uid="{8631EC37-B8B7-483C-B5A7-A0625BD31101}"/>
    <hyperlink ref="AG52" r:id="rId45" xr:uid="{546DDD46-5770-476C-AA6C-5730EB499538}"/>
    <hyperlink ref="AG53" r:id="rId46" xr:uid="{9428A0BD-F2A1-49CA-B81F-DC1511242637}"/>
    <hyperlink ref="AG54" r:id="rId47" xr:uid="{9916120C-A1C7-4D2F-801A-11C1C1D18C10}"/>
    <hyperlink ref="AG58" r:id="rId48" xr:uid="{8FC71937-CE1A-412D-BBD8-478EF6E3B80A}"/>
    <hyperlink ref="AG57" r:id="rId49" xr:uid="{947176C3-5D21-42F3-B5BE-1A0C74082D81}"/>
    <hyperlink ref="AG56" r:id="rId50" xr:uid="{A2905410-5F55-4DAA-89FB-9D05AA11D938}"/>
    <hyperlink ref="AG55" r:id="rId51" xr:uid="{C62DB316-7287-4F23-824D-216FDE660DE2}"/>
    <hyperlink ref="AG63" r:id="rId52" xr:uid="{132BA0F2-F320-41FC-B347-E54C0FD58B22}"/>
    <hyperlink ref="AG64" r:id="rId53" xr:uid="{3C2F1202-D8A1-4B0A-A170-21C05B0B73EE}"/>
    <hyperlink ref="AG65" r:id="rId54" xr:uid="{E5FFE79A-1EBC-46A5-A2C9-EC1E18CB1188}"/>
    <hyperlink ref="AG66" r:id="rId55" xr:uid="{54D364AC-96D1-4893-B5B6-31EB47B95DDB}"/>
    <hyperlink ref="AG67" r:id="rId56" xr:uid="{296EF983-8EA3-4093-9E86-4539994EB2F2}"/>
    <hyperlink ref="AG68" r:id="rId57" xr:uid="{6AF778F3-E6BB-4A89-9B6F-79CDF9E8587C}"/>
    <hyperlink ref="AG69" r:id="rId58" xr:uid="{6EC70113-1EC3-48BF-B997-06A0D121754B}"/>
    <hyperlink ref="AG70" r:id="rId59" xr:uid="{84969AE6-3B2C-442E-A51D-71BD1AB35A7C}"/>
    <hyperlink ref="AG72" r:id="rId60" xr:uid="{76A77A8F-DE19-4EE6-B559-0D4B4ABA4AAA}"/>
    <hyperlink ref="AG71" r:id="rId61" xr:uid="{498CCFA0-55D6-4C5D-AADB-07372D6E099D}"/>
    <hyperlink ref="AG73" r:id="rId62" xr:uid="{3154AC9A-8401-4296-8B77-EA2F61DE0B2D}"/>
    <hyperlink ref="AG74" r:id="rId63" xr:uid="{B0570461-F8C7-4B2C-B032-6F76CEF4AA16}"/>
    <hyperlink ref="AG75" r:id="rId64" xr:uid="{90F19437-237B-46A9-A4B5-C6BE5C7D774B}"/>
    <hyperlink ref="AG76" r:id="rId65" xr:uid="{C1D5630E-75CE-4D1F-AA2B-5984FB8216D8}"/>
    <hyperlink ref="AG77" r:id="rId66" xr:uid="{6B396059-1E63-4CAB-BCCD-47243C70B869}"/>
    <hyperlink ref="AG78" r:id="rId67" xr:uid="{AA3491EE-4FCB-4777-BF12-81F86BF83ED1}"/>
    <hyperlink ref="AG79" r:id="rId68" xr:uid="{CEEC94B1-623E-43AF-B4CA-EDDC134EA843}"/>
    <hyperlink ref="AG80" r:id="rId69" xr:uid="{E96800B1-2DB8-4086-99BB-ECCA4C6AE6DC}"/>
    <hyperlink ref="AG81" r:id="rId70" xr:uid="{86E26F7E-EE9F-4E70-A704-CB301DFD070E}"/>
    <hyperlink ref="AG82" r:id="rId71" xr:uid="{0B86E12F-72E4-42E2-8360-D7241A6F3E25}"/>
    <hyperlink ref="AG59" r:id="rId72" xr:uid="{70279670-0650-4F05-BFAE-92D58207344F}"/>
    <hyperlink ref="AG61" r:id="rId73" xr:uid="{1A040AEB-8DCF-494C-8AA7-C4A189879C6D}"/>
    <hyperlink ref="AG83" r:id="rId74" xr:uid="{1B98D3B1-D7C6-4B5D-BB69-D32CABBE8A6C}"/>
    <hyperlink ref="AG84" r:id="rId75" xr:uid="{061F7CC2-5BB7-4632-B6C7-82BEB293FA2E}"/>
    <hyperlink ref="AG85" r:id="rId76" xr:uid="{C0FCB2DC-4F03-45CE-A992-3920C5DCF1D1}"/>
    <hyperlink ref="AG86" r:id="rId77" xr:uid="{E6544FDE-866C-4199-901A-C69AB9B54C84}"/>
    <hyperlink ref="AG87" r:id="rId78" xr:uid="{B12D1C0C-612A-44CF-B5F3-08DAF103DF2D}"/>
    <hyperlink ref="AG88" r:id="rId79" xr:uid="{2F3206F1-CBE5-479F-B6A2-F6DEF55A1A68}"/>
    <hyperlink ref="AG89" r:id="rId80" xr:uid="{EC4EAAAA-232F-4EB9-8A7E-F2D57AE2A45D}"/>
    <hyperlink ref="AG90" r:id="rId81" xr:uid="{7CD048C5-6E24-4101-ADF2-73664BFAEA33}"/>
    <hyperlink ref="AG92" r:id="rId82" xr:uid="{F7029282-0028-48B3-89F3-4872C7E532FA}"/>
    <hyperlink ref="AG91" r:id="rId83" xr:uid="{09171CA0-A02B-486C-8B22-6326749FF990}"/>
    <hyperlink ref="AG94" r:id="rId84" xr:uid="{B83DE440-4138-484C-BD7A-4DE8AD4C5240}"/>
    <hyperlink ref="AG95" r:id="rId85" xr:uid="{9C17DF15-3574-4471-9465-A56567285B4C}"/>
    <hyperlink ref="AG96" r:id="rId86" xr:uid="{95AAF164-E751-4FE5-8B40-45BA40E90CF9}"/>
    <hyperlink ref="AG99" r:id="rId87" xr:uid="{5BA00FED-ACB2-4E85-B63B-F4BC66A6D6A6}"/>
    <hyperlink ref="AG100" r:id="rId88" xr:uid="{AE139C54-F738-4571-8D52-56C694643CB9}"/>
    <hyperlink ref="AG102" r:id="rId89" xr:uid="{7D4288AE-EA21-4852-AA8F-971D5795283D}"/>
    <hyperlink ref="AG103" r:id="rId90" xr:uid="{515E56BF-1653-448B-9447-FB47254B2264}"/>
    <hyperlink ref="AG104" r:id="rId91" xr:uid="{8429D956-B499-4B2C-9859-58B0AAA3A96E}"/>
    <hyperlink ref="AG105" r:id="rId92" xr:uid="{9F517618-BC7D-4F5E-8958-1C4236686CAB}"/>
    <hyperlink ref="AG107" r:id="rId93" xr:uid="{3E84A922-AAC0-4ADE-9433-AB0FD674C4E0}"/>
    <hyperlink ref="AG106" r:id="rId94" xr:uid="{B2CD8BB3-7D49-4020-9FAA-960884E50248}"/>
    <hyperlink ref="AG108" r:id="rId95" xr:uid="{A893D33D-2E3D-4B2A-93E6-80E618DC4B2E}"/>
    <hyperlink ref="AG109" r:id="rId96" xr:uid="{D922921B-2C84-4782-891B-0C1950E0FACF}"/>
    <hyperlink ref="AG110" r:id="rId97" xr:uid="{69744B05-3859-40FC-96E7-58110A137417}"/>
    <hyperlink ref="AG111" r:id="rId98" xr:uid="{55A18BD6-247C-4054-A292-B4014A4D3E6C}"/>
    <hyperlink ref="AG112" r:id="rId99" xr:uid="{21A6FCEC-CB10-4161-82F3-CB79FE88CE6C}"/>
    <hyperlink ref="AG114" r:id="rId100" xr:uid="{DBAB94C9-312D-416B-ABB7-D60DD16EE7F1}"/>
    <hyperlink ref="AG116" r:id="rId101" xr:uid="{5E2E678B-1781-47A1-89DA-6273FE49E17F}"/>
    <hyperlink ref="AG115" r:id="rId102" xr:uid="{66BDF634-BB26-4C15-BC0B-8BF5F885EAAE}"/>
    <hyperlink ref="AG117" r:id="rId103" xr:uid="{F7DC7D20-9235-46E8-A0AD-CC1D1192C831}"/>
    <hyperlink ref="AG118" r:id="rId104" xr:uid="{B503A5CC-581B-410B-B6E8-7198ABE4BF47}"/>
    <hyperlink ref="AG124" r:id="rId105" xr:uid="{9D447299-B171-48D6-8855-1C1437E0E73D}"/>
    <hyperlink ref="AG121" r:id="rId106" xr:uid="{0A0F781E-E51A-40F9-BF23-EA32A5C1A090}"/>
    <hyperlink ref="AG122" r:id="rId107" xr:uid="{838A162A-F3FF-41AB-BF21-93A2C137577D}"/>
    <hyperlink ref="AG119" r:id="rId108" xr:uid="{C022463A-BC00-4DD0-BB04-25B7473B6E0C}"/>
    <hyperlink ref="AG127" r:id="rId109" xr:uid="{6FD4D029-0590-4555-B581-6681652FA135}"/>
    <hyperlink ref="AG62" r:id="rId110" display="../../../../../:f:/t/DireccindelaOficinadeInfraestructuraTecnolgica/IgCLXuEiBQvASIm3azsmDIDnAeBV0vvs1O2QAigM25u3mpA?e=X4ETXq" xr:uid="{48542AC1-3C75-41C0-A4D5-45A95F621B53}"/>
    <hyperlink ref="AG46" r:id="rId111" display="../../../../../:f:/t/DireccindelaOficinadeInfraestructuraTecnolgica/IgCVNZbyk9aoSJ7piqo7XJl0AfIZwHvZejp26QI5X1Gr0Ik?e=dJuPrW" xr:uid="{5982AAB9-F4FA-4A4B-8B3C-85E4847E8F33}"/>
    <hyperlink ref="AG113" r:id="rId112" xr:uid="{4A963E03-6CF4-4351-A0C9-0C6E45392D14}"/>
    <hyperlink ref="AG129" r:id="rId113" xr:uid="{4C54341F-E593-4E26-9517-8DD5E2B25E84}"/>
    <hyperlink ref="AG130" r:id="rId114" xr:uid="{B4F64E2E-1358-4A0D-92D5-5E145919FA65}"/>
  </hyperlinks>
  <pageMargins left="0.7" right="0.7" top="0.75" bottom="0.75" header="0.3" footer="0.3"/>
  <pageSetup paperSize="9" orientation="portrait" r:id="rId115"/>
  <legacyDrawing r:id="rId116"/>
  <extLst>
    <ext xmlns:x14="http://schemas.microsoft.com/office/spreadsheetml/2009/9/main" uri="{CCE6A557-97BC-4b89-ADB6-D9C93CAAB3DF}">
      <x14:dataValidations xmlns:xm="http://schemas.microsoft.com/office/excel/2006/main" disablePrompts="1" count="8">
        <x14:dataValidation type="list" allowBlank="1" showInputMessage="1" showErrorMessage="1" xr:uid="{16698981-59AB-4485-A779-AB8D7048A7A7}">
          <x14:formula1>
            <xm:f>Catalogo!$A$2:$A$100</xm:f>
          </x14:formula1>
          <xm:sqref>Y26 Y4:Y24 L4:M151 Y28:Y151</xm:sqref>
        </x14:dataValidation>
        <x14:dataValidation type="list" allowBlank="1" showInputMessage="1" showErrorMessage="1" xr:uid="{69463A2F-E846-46CF-9092-1910FD45C402}">
          <x14:formula1>
            <xm:f>Catalogo!$C$2:$C$100</xm:f>
          </x14:formula1>
          <xm:sqref>K4:K151</xm:sqref>
        </x14:dataValidation>
        <x14:dataValidation type="list" allowBlank="1" showInputMessage="1" showErrorMessage="1" xr:uid="{61729DCD-5D85-477F-8E17-E4AA6BB0147E}">
          <x14:formula1>
            <xm:f>Catalogo!$E$2:$E$100</xm:f>
          </x14:formula1>
          <xm:sqref>E4:E151</xm:sqref>
        </x14:dataValidation>
        <x14:dataValidation type="list" allowBlank="1" showInputMessage="1" showErrorMessage="1" xr:uid="{4417A610-9C30-4259-9166-83697CEDBE82}">
          <x14:formula1>
            <xm:f>Catalogo!$H$2:$H$101</xm:f>
          </x14:formula1>
          <xm:sqref>F4:G151</xm:sqref>
        </x14:dataValidation>
        <x14:dataValidation type="list" allowBlank="1" showInputMessage="1" showErrorMessage="1" xr:uid="{3296C547-A6AB-428F-988E-740092FC1783}">
          <x14:formula1>
            <xm:f>Catalogo!$S$2:$S$101</xm:f>
          </x14:formula1>
          <xm:sqref>U4:U151</xm:sqref>
        </x14:dataValidation>
        <x14:dataValidation type="list" allowBlank="1" showInputMessage="1" showErrorMessage="1" xr:uid="{1C301928-9EAB-4DEE-8794-B48627ABDDA7}">
          <x14:formula1>
            <xm:f>Catalogo!$M$2:$M$101</xm:f>
          </x14:formula1>
          <xm:sqref>Q4:Q151</xm:sqref>
        </x14:dataValidation>
        <x14:dataValidation type="list" allowBlank="1" showInputMessage="1" showErrorMessage="1" xr:uid="{5C172504-6501-4080-92B5-2AC3CFB78407}">
          <x14:formula1>
            <xm:f>Catalogo!$P$2:$P$101</xm:f>
          </x14:formula1>
          <xm:sqref>R4:R151</xm:sqref>
        </x14:dataValidation>
        <x14:dataValidation type="list" allowBlank="1" showInputMessage="1" showErrorMessage="1" xr:uid="{0ED7E75D-3D5D-4525-A154-DD374C6DFA47}">
          <x14:formula1>
            <xm:f>Catalogo!$K$2:$K$100</xm:f>
          </x14:formula1>
          <xm:sqref>N4:N151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F0063-4940-4187-83BF-30057F834F5F}">
  <sheetPr>
    <tabColor rgb="FFFFC000"/>
  </sheetPr>
  <dimension ref="A1:B143"/>
  <sheetViews>
    <sheetView tabSelected="1" zoomScale="80" zoomScaleNormal="80" workbookViewId="0">
      <pane ySplit="1" topLeftCell="A120" activePane="bottomLeft" state="frozen"/>
      <selection pane="bottomLeft" activeCell="K125" sqref="K125"/>
    </sheetView>
  </sheetViews>
  <sheetFormatPr baseColWidth="10" defaultColWidth="11.5703125" defaultRowHeight="15"/>
  <cols>
    <col min="1" max="1" width="20.5703125" style="39" customWidth="1"/>
    <col min="2" max="2" width="35.7109375" style="39" customWidth="1"/>
    <col min="3" max="3" width="9" style="36" customWidth="1"/>
    <col min="4" max="16384" width="11.5703125" style="36"/>
  </cols>
  <sheetData>
    <row r="1" spans="1:2">
      <c r="A1" s="40" t="s">
        <v>969</v>
      </c>
      <c r="B1" s="40" t="s">
        <v>11</v>
      </c>
    </row>
    <row r="2" spans="1:2" ht="22.9" customHeight="1">
      <c r="A2" s="37" t="s">
        <v>42</v>
      </c>
      <c r="B2" s="43" t="s">
        <v>970</v>
      </c>
    </row>
    <row r="3" spans="1:2" ht="30.75" customHeight="1">
      <c r="A3" s="37" t="s">
        <v>60</v>
      </c>
      <c r="B3" s="60" t="s">
        <v>62</v>
      </c>
    </row>
    <row r="4" spans="1:2" ht="22.9" customHeight="1">
      <c r="A4" s="37" t="s">
        <v>68</v>
      </c>
      <c r="B4" s="59" t="s">
        <v>70</v>
      </c>
    </row>
    <row r="5" spans="1:2" ht="22.9" customHeight="1">
      <c r="A5" s="37" t="s">
        <v>82</v>
      </c>
      <c r="B5" s="59" t="s">
        <v>83</v>
      </c>
    </row>
    <row r="6" spans="1:2" ht="22.9" customHeight="1">
      <c r="A6" s="37" t="s">
        <v>90</v>
      </c>
      <c r="B6" s="60" t="s">
        <v>91</v>
      </c>
    </row>
    <row r="7" spans="1:2" ht="22.9" customHeight="1">
      <c r="A7" s="37" t="s">
        <v>99</v>
      </c>
      <c r="B7" s="60" t="s">
        <v>100</v>
      </c>
    </row>
    <row r="8" spans="1:2" ht="22.9" customHeight="1">
      <c r="A8" s="37" t="s">
        <v>106</v>
      </c>
      <c r="B8" s="60" t="s">
        <v>107</v>
      </c>
    </row>
    <row r="9" spans="1:2" ht="22.9" customHeight="1">
      <c r="A9" s="37" t="s">
        <v>115</v>
      </c>
      <c r="B9" s="60" t="s">
        <v>116</v>
      </c>
    </row>
    <row r="10" spans="1:2" ht="22.9" customHeight="1">
      <c r="A10" s="37" t="s">
        <v>126</v>
      </c>
      <c r="B10" s="60" t="s">
        <v>971</v>
      </c>
    </row>
    <row r="11" spans="1:2" ht="22.9" customHeight="1">
      <c r="A11" s="37" t="s">
        <v>133</v>
      </c>
      <c r="B11" s="60" t="s">
        <v>134</v>
      </c>
    </row>
    <row r="12" spans="1:2" ht="22.9" customHeight="1">
      <c r="A12" s="37" t="s">
        <v>142</v>
      </c>
      <c r="B12" s="60" t="s">
        <v>972</v>
      </c>
    </row>
    <row r="13" spans="1:2" ht="22.9" customHeight="1">
      <c r="A13" s="37" t="s">
        <v>150</v>
      </c>
      <c r="B13" s="60" t="s">
        <v>151</v>
      </c>
    </row>
    <row r="14" spans="1:2" ht="22.9" customHeight="1">
      <c r="A14" s="37" t="s">
        <v>159</v>
      </c>
      <c r="B14" s="60" t="s">
        <v>973</v>
      </c>
    </row>
    <row r="15" spans="1:2" ht="22.9" customHeight="1">
      <c r="A15" s="37" t="s">
        <v>166</v>
      </c>
      <c r="B15" s="60" t="s">
        <v>167</v>
      </c>
    </row>
    <row r="16" spans="1:2" ht="22.9" customHeight="1">
      <c r="A16" s="37" t="s">
        <v>172</v>
      </c>
      <c r="B16" s="60" t="s">
        <v>173</v>
      </c>
    </row>
    <row r="17" spans="1:2" ht="22.9" customHeight="1">
      <c r="A17" s="37" t="s">
        <v>177</v>
      </c>
      <c r="B17" s="60" t="s">
        <v>178</v>
      </c>
    </row>
    <row r="18" spans="1:2" ht="22.9" customHeight="1">
      <c r="A18" s="37" t="s">
        <v>184</v>
      </c>
      <c r="B18" s="60" t="s">
        <v>185</v>
      </c>
    </row>
    <row r="19" spans="1:2" ht="22.9" customHeight="1">
      <c r="A19" s="37" t="s">
        <v>192</v>
      </c>
      <c r="B19" s="60" t="s">
        <v>193</v>
      </c>
    </row>
    <row r="20" spans="1:2" ht="22.9" customHeight="1">
      <c r="A20" s="37" t="s">
        <v>201</v>
      </c>
      <c r="B20" s="60" t="s">
        <v>202</v>
      </c>
    </row>
    <row r="21" spans="1:2" ht="22.9" customHeight="1">
      <c r="A21" s="37" t="s">
        <v>210</v>
      </c>
      <c r="B21" s="77" t="s">
        <v>211</v>
      </c>
    </row>
    <row r="22" spans="1:2" ht="36.75" customHeight="1">
      <c r="A22" s="37" t="s">
        <v>218</v>
      </c>
      <c r="B22" s="77" t="s">
        <v>219</v>
      </c>
    </row>
    <row r="23" spans="1:2" ht="22.9" customHeight="1">
      <c r="A23" s="37" t="s">
        <v>227</v>
      </c>
      <c r="B23" s="84" t="s">
        <v>229</v>
      </c>
    </row>
    <row r="24" spans="1:2" ht="22.9" customHeight="1">
      <c r="A24" s="37" t="s">
        <v>238</v>
      </c>
      <c r="B24" s="84" t="s">
        <v>239</v>
      </c>
    </row>
    <row r="25" spans="1:2" ht="22.9" customHeight="1">
      <c r="A25" s="37" t="s">
        <v>247</v>
      </c>
      <c r="B25" s="84" t="s">
        <v>248</v>
      </c>
    </row>
    <row r="26" spans="1:2" ht="22.9" customHeight="1">
      <c r="A26" s="37" t="s">
        <v>257</v>
      </c>
      <c r="B26" s="84" t="s">
        <v>258</v>
      </c>
    </row>
    <row r="27" spans="1:2" ht="22.9" customHeight="1">
      <c r="A27" s="37" t="s">
        <v>265</v>
      </c>
      <c r="B27" s="84" t="s">
        <v>266</v>
      </c>
    </row>
    <row r="28" spans="1:2" ht="22.9" customHeight="1">
      <c r="A28" s="37" t="s">
        <v>276</v>
      </c>
      <c r="B28" s="84" t="s">
        <v>277</v>
      </c>
    </row>
    <row r="29" spans="1:2" ht="22.9" customHeight="1">
      <c r="A29" s="37" t="s">
        <v>284</v>
      </c>
      <c r="B29" s="84" t="s">
        <v>285</v>
      </c>
    </row>
    <row r="30" spans="1:2" ht="22.9" customHeight="1">
      <c r="A30" s="37" t="s">
        <v>292</v>
      </c>
      <c r="B30" s="84" t="s">
        <v>293</v>
      </c>
    </row>
    <row r="31" spans="1:2" ht="24" customHeight="1">
      <c r="A31" s="37" t="s">
        <v>295</v>
      </c>
      <c r="B31" s="77" t="s">
        <v>296</v>
      </c>
    </row>
    <row r="32" spans="1:2" ht="22.9" customHeight="1">
      <c r="A32" s="37" t="s">
        <v>302</v>
      </c>
      <c r="B32" s="84" t="s">
        <v>303</v>
      </c>
    </row>
    <row r="33" spans="1:2" ht="22.9" customHeight="1">
      <c r="A33" s="37" t="s">
        <v>311</v>
      </c>
      <c r="B33" s="84" t="s">
        <v>312</v>
      </c>
    </row>
    <row r="34" spans="1:2" ht="22.9" customHeight="1">
      <c r="A34" s="37" t="s">
        <v>317</v>
      </c>
      <c r="B34" s="84" t="s">
        <v>318</v>
      </c>
    </row>
    <row r="35" spans="1:2" ht="22.9" customHeight="1">
      <c r="A35" s="37" t="s">
        <v>322</v>
      </c>
      <c r="B35" s="84" t="s">
        <v>323</v>
      </c>
    </row>
    <row r="36" spans="1:2" ht="22.9" customHeight="1">
      <c r="A36" s="37" t="s">
        <v>330</v>
      </c>
      <c r="B36" s="84" t="s">
        <v>974</v>
      </c>
    </row>
    <row r="37" spans="1:2" ht="22.9" customHeight="1">
      <c r="A37" s="37" t="s">
        <v>338</v>
      </c>
      <c r="B37" s="84" t="s">
        <v>339</v>
      </c>
    </row>
    <row r="38" spans="1:2" ht="22.9" customHeight="1">
      <c r="A38" s="37" t="s">
        <v>346</v>
      </c>
      <c r="B38" s="84" t="s">
        <v>347</v>
      </c>
    </row>
    <row r="39" spans="1:2" ht="22.9" customHeight="1">
      <c r="A39" s="37" t="s">
        <v>356</v>
      </c>
      <c r="B39" s="77" t="s">
        <v>357</v>
      </c>
    </row>
    <row r="40" spans="1:2" ht="22.9" customHeight="1">
      <c r="A40" s="37" t="s">
        <v>361</v>
      </c>
      <c r="B40" s="77" t="s">
        <v>362</v>
      </c>
    </row>
    <row r="41" spans="1:2" ht="22.9" customHeight="1">
      <c r="A41" s="37" t="s">
        <v>366</v>
      </c>
      <c r="B41" s="84" t="s">
        <v>367</v>
      </c>
    </row>
    <row r="42" spans="1:2" ht="22.9" customHeight="1">
      <c r="A42" s="37" t="s">
        <v>379</v>
      </c>
      <c r="B42" s="84" t="s">
        <v>380</v>
      </c>
    </row>
    <row r="43" spans="1:2" ht="22.9" customHeight="1">
      <c r="A43" s="37" t="s">
        <v>387</v>
      </c>
      <c r="B43" s="84" t="s">
        <v>388</v>
      </c>
    </row>
    <row r="44" spans="1:2" ht="22.9" customHeight="1">
      <c r="A44" s="37" t="s">
        <v>394</v>
      </c>
      <c r="B44" s="84" t="s">
        <v>395</v>
      </c>
    </row>
    <row r="45" spans="1:2" ht="22.9" customHeight="1">
      <c r="A45" s="37" t="s">
        <v>400</v>
      </c>
      <c r="B45" s="84" t="s">
        <v>401</v>
      </c>
    </row>
    <row r="46" spans="1:2" ht="22.9" customHeight="1">
      <c r="A46" s="37" t="s">
        <v>407</v>
      </c>
      <c r="B46" s="60" t="s">
        <v>277</v>
      </c>
    </row>
    <row r="47" spans="1:2" ht="22.9" customHeight="1">
      <c r="A47" s="37" t="s">
        <v>418</v>
      </c>
      <c r="B47" s="84" t="s">
        <v>975</v>
      </c>
    </row>
    <row r="48" spans="1:2" ht="22.9" customHeight="1">
      <c r="A48" s="37" t="s">
        <v>426</v>
      </c>
      <c r="B48" s="84" t="s">
        <v>976</v>
      </c>
    </row>
    <row r="49" spans="1:2" ht="22.9" customHeight="1">
      <c r="A49" s="37" t="s">
        <v>348</v>
      </c>
      <c r="B49" s="60" t="s">
        <v>350</v>
      </c>
    </row>
    <row r="50" spans="1:2" ht="22.9" customHeight="1">
      <c r="A50" s="37" t="s">
        <v>412</v>
      </c>
      <c r="B50" s="84" t="s">
        <v>413</v>
      </c>
    </row>
    <row r="51" spans="1:2" ht="22.9" customHeight="1">
      <c r="A51" s="37" t="s">
        <v>432</v>
      </c>
      <c r="B51" s="84" t="s">
        <v>977</v>
      </c>
    </row>
    <row r="52" spans="1:2" ht="22.9" customHeight="1">
      <c r="A52" s="37" t="s">
        <v>451</v>
      </c>
      <c r="B52" s="43" t="s">
        <v>452</v>
      </c>
    </row>
    <row r="53" spans="1:2" ht="36" customHeight="1">
      <c r="A53" s="37" t="s">
        <v>443</v>
      </c>
      <c r="B53" s="84" t="s">
        <v>444</v>
      </c>
    </row>
    <row r="54" spans="1:2" ht="39" customHeight="1">
      <c r="A54" s="37" t="s">
        <v>460</v>
      </c>
      <c r="B54" s="84" t="s">
        <v>461</v>
      </c>
    </row>
    <row r="55" spans="1:2" ht="22.9" customHeight="1">
      <c r="A55" s="37" t="s">
        <v>466</v>
      </c>
      <c r="B55" s="84" t="s">
        <v>467</v>
      </c>
    </row>
    <row r="56" spans="1:2" ht="22.9" customHeight="1">
      <c r="A56" s="37" t="s">
        <v>472</v>
      </c>
      <c r="B56" s="84" t="s">
        <v>473</v>
      </c>
    </row>
    <row r="57" spans="1:2" ht="22.9" customHeight="1">
      <c r="A57" s="37" t="s">
        <v>478</v>
      </c>
      <c r="B57" s="77" t="s">
        <v>978</v>
      </c>
    </row>
    <row r="58" spans="1:2" ht="22.9" customHeight="1">
      <c r="A58" s="37" t="s">
        <v>486</v>
      </c>
      <c r="B58" s="77" t="s">
        <v>979</v>
      </c>
    </row>
    <row r="59" spans="1:2" ht="39.75" customHeight="1">
      <c r="A59" s="37" t="s">
        <v>493</v>
      </c>
      <c r="B59" s="77" t="s">
        <v>979</v>
      </c>
    </row>
    <row r="60" spans="1:2" ht="22.9" customHeight="1">
      <c r="A60" s="37" t="s">
        <v>499</v>
      </c>
      <c r="B60" s="77" t="s">
        <v>980</v>
      </c>
    </row>
    <row r="61" spans="1:2" ht="22.9" customHeight="1">
      <c r="A61" s="37" t="s">
        <v>506</v>
      </c>
      <c r="B61" s="60" t="s">
        <v>981</v>
      </c>
    </row>
    <row r="62" spans="1:2" ht="22.9" customHeight="1">
      <c r="A62" s="37" t="s">
        <v>514</v>
      </c>
      <c r="B62" s="60" t="s">
        <v>515</v>
      </c>
    </row>
    <row r="63" spans="1:2" ht="22.9" customHeight="1">
      <c r="A63" s="37" t="s">
        <v>522</v>
      </c>
      <c r="B63" s="84" t="s">
        <v>515</v>
      </c>
    </row>
    <row r="64" spans="1:2" ht="22.9" customHeight="1">
      <c r="A64" s="37" t="s">
        <v>532</v>
      </c>
      <c r="B64" s="84" t="s">
        <v>533</v>
      </c>
    </row>
    <row r="65" spans="1:2" ht="22.9" customHeight="1">
      <c r="A65" s="37" t="s">
        <v>540</v>
      </c>
      <c r="B65" s="84" t="s">
        <v>541</v>
      </c>
    </row>
    <row r="66" spans="1:2" ht="22.9" customHeight="1">
      <c r="A66" s="37" t="s">
        <v>548</v>
      </c>
      <c r="B66" s="84" t="s">
        <v>549</v>
      </c>
    </row>
    <row r="67" spans="1:2" ht="22.9" customHeight="1">
      <c r="A67" s="37" t="s">
        <v>555</v>
      </c>
      <c r="B67" s="84" t="s">
        <v>982</v>
      </c>
    </row>
    <row r="68" spans="1:2" ht="22.9" customHeight="1">
      <c r="A68" s="37" t="s">
        <v>563</v>
      </c>
      <c r="B68" s="84" t="s">
        <v>564</v>
      </c>
    </row>
    <row r="69" spans="1:2" ht="22.9" customHeight="1">
      <c r="A69" s="37" t="s">
        <v>569</v>
      </c>
      <c r="B69" s="60" t="s">
        <v>570</v>
      </c>
    </row>
    <row r="70" spans="1:2" ht="22.9" customHeight="1">
      <c r="A70" s="37" t="s">
        <v>575</v>
      </c>
      <c r="B70" s="84" t="s">
        <v>576</v>
      </c>
    </row>
    <row r="71" spans="1:2" ht="22.9" customHeight="1">
      <c r="A71" s="37" t="s">
        <v>582</v>
      </c>
      <c r="B71" s="84" t="s">
        <v>583</v>
      </c>
    </row>
    <row r="72" spans="1:2" ht="22.9" customHeight="1">
      <c r="A72" s="37" t="s">
        <v>590</v>
      </c>
      <c r="B72" s="84" t="s">
        <v>591</v>
      </c>
    </row>
    <row r="73" spans="1:2" ht="22.9" customHeight="1">
      <c r="A73" s="37" t="s">
        <v>597</v>
      </c>
      <c r="B73" s="84" t="s">
        <v>598</v>
      </c>
    </row>
    <row r="74" spans="1:2" ht="22.9" customHeight="1">
      <c r="A74" s="37" t="s">
        <v>605</v>
      </c>
      <c r="B74" s="84" t="s">
        <v>606</v>
      </c>
    </row>
    <row r="75" spans="1:2" ht="29.25" customHeight="1">
      <c r="A75" s="37" t="s">
        <v>612</v>
      </c>
      <c r="B75" s="84" t="s">
        <v>613</v>
      </c>
    </row>
    <row r="76" spans="1:2" ht="22.9" customHeight="1">
      <c r="A76" s="37" t="s">
        <v>621</v>
      </c>
      <c r="B76" s="84" t="s">
        <v>983</v>
      </c>
    </row>
    <row r="77" spans="1:2" ht="22.9" customHeight="1">
      <c r="A77" s="37" t="s">
        <v>632</v>
      </c>
      <c r="B77" s="84" t="s">
        <v>984</v>
      </c>
    </row>
    <row r="78" spans="1:2" ht="22.9" customHeight="1">
      <c r="A78" s="37" t="s">
        <v>640</v>
      </c>
      <c r="B78" s="84" t="s">
        <v>641</v>
      </c>
    </row>
    <row r="79" spans="1:2" ht="22.9" customHeight="1">
      <c r="A79" s="37" t="s">
        <v>648</v>
      </c>
      <c r="B79" s="84" t="s">
        <v>649</v>
      </c>
    </row>
    <row r="80" spans="1:2" ht="22.9" customHeight="1">
      <c r="A80" s="37" t="s">
        <v>656</v>
      </c>
      <c r="B80" s="84" t="s">
        <v>657</v>
      </c>
    </row>
    <row r="81" spans="1:2" ht="22.9" customHeight="1">
      <c r="A81" s="37" t="s">
        <v>664</v>
      </c>
      <c r="B81" s="84" t="s">
        <v>665</v>
      </c>
    </row>
    <row r="82" spans="1:2" ht="22.9" customHeight="1">
      <c r="A82" s="37" t="s">
        <v>672</v>
      </c>
      <c r="B82" s="84" t="s">
        <v>985</v>
      </c>
    </row>
    <row r="83" spans="1:2" ht="22.9" customHeight="1">
      <c r="A83" s="37" t="s">
        <v>680</v>
      </c>
      <c r="B83" s="60" t="s">
        <v>681</v>
      </c>
    </row>
    <row r="84" spans="1:2" ht="22.9" customHeight="1">
      <c r="A84" s="37" t="s">
        <v>689</v>
      </c>
      <c r="B84" s="60" t="s">
        <v>690</v>
      </c>
    </row>
    <row r="85" spans="1:2" ht="22.9" customHeight="1">
      <c r="A85" s="37" t="s">
        <v>697</v>
      </c>
      <c r="B85" s="60" t="s">
        <v>698</v>
      </c>
    </row>
    <row r="86" spans="1:2" ht="22.9" customHeight="1">
      <c r="A86" s="37" t="s">
        <v>705</v>
      </c>
      <c r="B86" s="60" t="s">
        <v>706</v>
      </c>
    </row>
    <row r="87" spans="1:2" ht="22.9" customHeight="1">
      <c r="A87" s="37" t="s">
        <v>713</v>
      </c>
      <c r="B87" s="84" t="s">
        <v>714</v>
      </c>
    </row>
    <row r="88" spans="1:2" ht="22.9" customHeight="1">
      <c r="A88" s="37" t="s">
        <v>721</v>
      </c>
      <c r="B88" s="84" t="s">
        <v>722</v>
      </c>
    </row>
    <row r="89" spans="1:2" ht="22.9" customHeight="1">
      <c r="A89" s="37" t="s">
        <v>729</v>
      </c>
      <c r="B89" s="84" t="s">
        <v>986</v>
      </c>
    </row>
    <row r="90" spans="1:2" ht="22.9" customHeight="1">
      <c r="A90" s="37" t="s">
        <v>738</v>
      </c>
      <c r="B90" s="84" t="s">
        <v>987</v>
      </c>
    </row>
    <row r="91" spans="1:2" ht="22.9" customHeight="1">
      <c r="A91" s="37" t="s">
        <v>744</v>
      </c>
      <c r="B91" s="84" t="s">
        <v>745</v>
      </c>
    </row>
    <row r="92" spans="1:2" ht="22.9" customHeight="1">
      <c r="A92" s="37" t="s">
        <v>747</v>
      </c>
      <c r="B92" s="84" t="s">
        <v>748</v>
      </c>
    </row>
    <row r="93" spans="1:2" ht="22.9" customHeight="1">
      <c r="A93" s="37" t="s">
        <v>755</v>
      </c>
      <c r="B93" s="84" t="s">
        <v>756</v>
      </c>
    </row>
    <row r="94" spans="1:2" ht="22.9" customHeight="1">
      <c r="A94" s="37" t="s">
        <v>763</v>
      </c>
      <c r="B94" s="84" t="s">
        <v>764</v>
      </c>
    </row>
    <row r="95" spans="1:2" ht="22.9" customHeight="1">
      <c r="A95" s="37" t="s">
        <v>770</v>
      </c>
      <c r="B95" s="84" t="s">
        <v>771</v>
      </c>
    </row>
    <row r="96" spans="1:2" ht="59.25" customHeight="1">
      <c r="A96" s="37" t="s">
        <v>776</v>
      </c>
      <c r="B96" s="84" t="s">
        <v>777</v>
      </c>
    </row>
    <row r="97" spans="1:2" ht="22.9" customHeight="1">
      <c r="A97" s="37" t="s">
        <v>782</v>
      </c>
      <c r="B97" s="84" t="s">
        <v>783</v>
      </c>
    </row>
    <row r="98" spans="1:2" ht="22.9" customHeight="1">
      <c r="A98" s="37" t="s">
        <v>788</v>
      </c>
      <c r="B98" s="84" t="s">
        <v>988</v>
      </c>
    </row>
    <row r="99" spans="1:2" ht="22.9" customHeight="1">
      <c r="A99" s="37" t="s">
        <v>802</v>
      </c>
      <c r="B99" s="84" t="s">
        <v>803</v>
      </c>
    </row>
    <row r="100" spans="1:2" ht="22.9" customHeight="1">
      <c r="A100" s="37" t="s">
        <v>811</v>
      </c>
      <c r="B100" s="84" t="s">
        <v>812</v>
      </c>
    </row>
    <row r="101" spans="1:2" ht="22.9" customHeight="1">
      <c r="A101" s="37" t="s">
        <v>821</v>
      </c>
      <c r="B101" s="84" t="s">
        <v>822</v>
      </c>
    </row>
    <row r="102" spans="1:2" ht="22.9" customHeight="1">
      <c r="A102" s="37" t="s">
        <v>828</v>
      </c>
      <c r="B102" s="84" t="s">
        <v>989</v>
      </c>
    </row>
    <row r="103" spans="1:2" ht="22.9" customHeight="1">
      <c r="A103" s="37" t="s">
        <v>836</v>
      </c>
      <c r="B103" s="84" t="s">
        <v>837</v>
      </c>
    </row>
    <row r="104" spans="1:2" ht="22.9" customHeight="1">
      <c r="A104" s="37" t="s">
        <v>842</v>
      </c>
      <c r="B104" s="84" t="s">
        <v>990</v>
      </c>
    </row>
    <row r="105" spans="1:2" ht="22.9" customHeight="1">
      <c r="A105" s="37" t="s">
        <v>848</v>
      </c>
      <c r="B105" s="84" t="s">
        <v>991</v>
      </c>
    </row>
    <row r="106" spans="1:2" ht="22.9" customHeight="1">
      <c r="A106" s="37" t="s">
        <v>853</v>
      </c>
      <c r="B106" s="84" t="s">
        <v>380</v>
      </c>
    </row>
    <row r="107" spans="1:2" ht="22.9" customHeight="1">
      <c r="A107" s="37" t="s">
        <v>858</v>
      </c>
      <c r="B107" s="84" t="s">
        <v>860</v>
      </c>
    </row>
    <row r="108" spans="1:2" ht="22.9" customHeight="1">
      <c r="A108" s="37" t="s">
        <v>866</v>
      </c>
      <c r="B108" s="60" t="s">
        <v>867</v>
      </c>
    </row>
    <row r="109" spans="1:2" ht="22.9" customHeight="1">
      <c r="A109" s="37" t="s">
        <v>872</v>
      </c>
      <c r="B109" s="84" t="s">
        <v>873</v>
      </c>
    </row>
    <row r="110" spans="1:2" ht="22.9" customHeight="1">
      <c r="A110" s="37" t="s">
        <v>878</v>
      </c>
      <c r="B110" s="84" t="s">
        <v>879</v>
      </c>
    </row>
    <row r="111" spans="1:2" ht="22.9" customHeight="1">
      <c r="A111" s="37" t="s">
        <v>887</v>
      </c>
      <c r="B111" s="84" t="s">
        <v>888</v>
      </c>
    </row>
    <row r="112" spans="1:2" ht="22.9" customHeight="1">
      <c r="A112" s="37" t="s">
        <v>859</v>
      </c>
      <c r="B112" s="84" t="s">
        <v>895</v>
      </c>
    </row>
    <row r="113" spans="1:2" ht="22.9" customHeight="1">
      <c r="A113" s="37" t="s">
        <v>899</v>
      </c>
      <c r="B113" s="84" t="s">
        <v>992</v>
      </c>
    </row>
    <row r="114" spans="1:2" ht="22.9" customHeight="1">
      <c r="A114" s="37" t="s">
        <v>904</v>
      </c>
      <c r="B114" s="84" t="s">
        <v>905</v>
      </c>
    </row>
    <row r="115" spans="1:2" ht="22.9" customHeight="1">
      <c r="A115" s="37" t="s">
        <v>909</v>
      </c>
      <c r="B115" s="84" t="s">
        <v>910</v>
      </c>
    </row>
    <row r="116" spans="1:2" ht="22.9" customHeight="1">
      <c r="A116" s="37" t="s">
        <v>931</v>
      </c>
      <c r="B116" s="84" t="s">
        <v>932</v>
      </c>
    </row>
    <row r="117" spans="1:2" ht="22.9" customHeight="1">
      <c r="A117" s="37" t="s">
        <v>946</v>
      </c>
      <c r="B117" s="84" t="s">
        <v>937</v>
      </c>
    </row>
    <row r="118" spans="1:2" ht="22.9" customHeight="1">
      <c r="A118" s="37" t="s">
        <v>949</v>
      </c>
      <c r="B118" s="84" t="s">
        <v>993</v>
      </c>
    </row>
    <row r="119" spans="1:2" ht="22.9" customHeight="1">
      <c r="A119" s="37" t="s">
        <v>955</v>
      </c>
      <c r="B119" s="84" t="s">
        <v>994</v>
      </c>
    </row>
    <row r="120" spans="1:2" ht="66" customHeight="1">
      <c r="A120" s="37" t="s">
        <v>925</v>
      </c>
      <c r="B120" s="84" t="s">
        <v>995</v>
      </c>
    </row>
    <row r="121" spans="1:2" ht="66.75" customHeight="1">
      <c r="A121" s="37" t="s">
        <v>942</v>
      </c>
      <c r="B121" s="84" t="s">
        <v>996</v>
      </c>
    </row>
    <row r="122" spans="1:2" ht="69" customHeight="1">
      <c r="A122" s="37" t="s">
        <v>916</v>
      </c>
      <c r="B122" s="84" t="s">
        <v>917</v>
      </c>
    </row>
    <row r="123" spans="1:2" ht="54.75" customHeight="1">
      <c r="A123" s="37" t="s">
        <v>936</v>
      </c>
      <c r="B123" s="84" t="s">
        <v>937</v>
      </c>
    </row>
    <row r="124" spans="1:2" ht="22.9" customHeight="1">
      <c r="A124" s="37" t="s">
        <v>959</v>
      </c>
      <c r="B124" s="60" t="s">
        <v>960</v>
      </c>
    </row>
    <row r="125" spans="1:2" ht="22.9" customHeight="1">
      <c r="A125" s="37" t="s">
        <v>964</v>
      </c>
      <c r="B125" s="84" t="s">
        <v>965</v>
      </c>
    </row>
    <row r="126" spans="1:2" ht="22.9" customHeight="1">
      <c r="A126" s="37" t="s">
        <v>798</v>
      </c>
      <c r="B126" s="84" t="s">
        <v>799</v>
      </c>
    </row>
    <row r="127" spans="1:2" ht="22.9" customHeight="1">
      <c r="A127" s="37" t="s">
        <v>997</v>
      </c>
      <c r="B127" s="84" t="s">
        <v>1278</v>
      </c>
    </row>
    <row r="128" spans="1:2" ht="22.9" customHeight="1">
      <c r="A128" s="37" t="s">
        <v>998</v>
      </c>
      <c r="B128" s="84" t="s">
        <v>1281</v>
      </c>
    </row>
    <row r="129" spans="1:2" ht="22.9" customHeight="1">
      <c r="A129" s="37" t="s">
        <v>999</v>
      </c>
      <c r="B129" s="43"/>
    </row>
    <row r="130" spans="1:2" ht="22.9" customHeight="1">
      <c r="A130" s="37" t="s">
        <v>1000</v>
      </c>
      <c r="B130" s="43"/>
    </row>
    <row r="131" spans="1:2" ht="22.9" customHeight="1">
      <c r="A131" s="37" t="s">
        <v>1001</v>
      </c>
      <c r="B131" s="43"/>
    </row>
    <row r="132" spans="1:2" ht="22.9" customHeight="1">
      <c r="A132" s="37" t="s">
        <v>1002</v>
      </c>
      <c r="B132" s="43"/>
    </row>
    <row r="133" spans="1:2" ht="22.9" customHeight="1">
      <c r="A133" s="37" t="s">
        <v>1003</v>
      </c>
      <c r="B133" s="43"/>
    </row>
    <row r="134" spans="1:2" ht="22.9" customHeight="1">
      <c r="A134" s="37" t="s">
        <v>1004</v>
      </c>
      <c r="B134" s="43"/>
    </row>
    <row r="135" spans="1:2" ht="22.9" customHeight="1">
      <c r="A135" s="37" t="s">
        <v>1005</v>
      </c>
      <c r="B135" s="43"/>
    </row>
    <row r="136" spans="1:2" ht="22.9" customHeight="1">
      <c r="A136" s="37" t="s">
        <v>1006</v>
      </c>
      <c r="B136" s="43"/>
    </row>
    <row r="137" spans="1:2" ht="22.9" customHeight="1">
      <c r="A137" s="37" t="s">
        <v>1007</v>
      </c>
      <c r="B137" s="43"/>
    </row>
    <row r="138" spans="1:2" ht="22.9" customHeight="1">
      <c r="A138" s="37" t="s">
        <v>1008</v>
      </c>
      <c r="B138" s="43"/>
    </row>
    <row r="139" spans="1:2" ht="22.9" customHeight="1">
      <c r="A139" s="37" t="s">
        <v>1009</v>
      </c>
      <c r="B139" s="43"/>
    </row>
    <row r="140" spans="1:2" ht="22.9" customHeight="1">
      <c r="A140" s="37" t="s">
        <v>1010</v>
      </c>
      <c r="B140" s="43"/>
    </row>
    <row r="141" spans="1:2" ht="22.9" customHeight="1">
      <c r="A141" s="37" t="s">
        <v>1011</v>
      </c>
      <c r="B141" s="43"/>
    </row>
    <row r="142" spans="1:2" ht="22.9" customHeight="1">
      <c r="A142" s="37" t="s">
        <v>1012</v>
      </c>
      <c r="B142" s="43"/>
    </row>
    <row r="143" spans="1:2" ht="22.9" customHeight="1">
      <c r="A143" s="37" t="s">
        <v>1013</v>
      </c>
      <c r="B143" s="43"/>
    </row>
  </sheetData>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09ABF-FFDA-40AE-9FC4-65C7A303762F}">
  <sheetPr>
    <tabColor theme="3" tint="0.499984740745262"/>
  </sheetPr>
  <dimension ref="A1:H39"/>
  <sheetViews>
    <sheetView zoomScale="115" zoomScaleNormal="115" workbookViewId="0">
      <selection activeCell="D4" sqref="D4"/>
    </sheetView>
  </sheetViews>
  <sheetFormatPr baseColWidth="10" defaultColWidth="11.42578125" defaultRowHeight="15"/>
  <cols>
    <col min="1" max="1" width="31.7109375" customWidth="1"/>
    <col min="2" max="2" width="20.28515625" customWidth="1"/>
    <col min="3" max="3" width="13.28515625" customWidth="1"/>
    <col min="4" max="5" width="17.5703125" customWidth="1"/>
    <col min="6" max="6" width="22.42578125" customWidth="1"/>
    <col min="7" max="7" width="18.28515625" customWidth="1"/>
    <col min="8" max="8" width="21" customWidth="1"/>
  </cols>
  <sheetData>
    <row r="1" spans="1:8" ht="15" customHeight="1">
      <c r="A1" s="242" t="s">
        <v>1018</v>
      </c>
      <c r="B1" s="242"/>
      <c r="C1" s="242"/>
      <c r="D1" s="242"/>
      <c r="E1" s="242"/>
      <c r="F1" s="242"/>
      <c r="G1" s="242"/>
      <c r="H1" s="242"/>
    </row>
    <row r="2" spans="1:8" ht="27">
      <c r="A2" s="3" t="s">
        <v>1019</v>
      </c>
      <c r="B2" s="3" t="s">
        <v>1020</v>
      </c>
      <c r="C2" s="3" t="s">
        <v>1015</v>
      </c>
      <c r="D2" s="4" t="s">
        <v>1021</v>
      </c>
      <c r="E2" s="4" t="s">
        <v>1022</v>
      </c>
      <c r="F2" s="4" t="s">
        <v>1023</v>
      </c>
      <c r="G2" s="4" t="s">
        <v>1024</v>
      </c>
      <c r="H2" s="4" t="s">
        <v>1025</v>
      </c>
    </row>
    <row r="3" spans="1:8" ht="72">
      <c r="A3" s="34" t="s">
        <v>1026</v>
      </c>
      <c r="B3" s="5" t="s">
        <v>1027</v>
      </c>
      <c r="C3" s="6" t="s">
        <v>1028</v>
      </c>
      <c r="D3" s="7" t="s">
        <v>808</v>
      </c>
      <c r="E3" s="7" t="s">
        <v>1029</v>
      </c>
      <c r="F3" s="8"/>
      <c r="G3" s="8"/>
      <c r="H3" s="9">
        <v>47080</v>
      </c>
    </row>
    <row r="4" spans="1:8" ht="72">
      <c r="A4" s="34" t="s">
        <v>1030</v>
      </c>
      <c r="B4" s="5" t="s">
        <v>1031</v>
      </c>
      <c r="C4" s="6" t="s">
        <v>1028</v>
      </c>
      <c r="D4" s="7" t="s">
        <v>752</v>
      </c>
      <c r="E4" s="7"/>
      <c r="F4" s="10">
        <v>45664</v>
      </c>
      <c r="G4" s="10">
        <v>45665</v>
      </c>
      <c r="H4" s="11">
        <v>46760</v>
      </c>
    </row>
    <row r="5" spans="1:8" ht="60">
      <c r="A5" s="34" t="s">
        <v>1032</v>
      </c>
      <c r="B5" s="5" t="s">
        <v>1033</v>
      </c>
      <c r="C5" s="6" t="s">
        <v>1028</v>
      </c>
      <c r="D5" s="7" t="s">
        <v>702</v>
      </c>
      <c r="E5" s="7"/>
      <c r="F5" s="8"/>
      <c r="G5" s="10">
        <v>45783</v>
      </c>
      <c r="H5" s="11">
        <v>46512</v>
      </c>
    </row>
    <row r="6" spans="1:8" ht="60">
      <c r="A6" s="34" t="s">
        <v>1034</v>
      </c>
      <c r="B6" s="5" t="s">
        <v>1035</v>
      </c>
      <c r="C6" s="6" t="s">
        <v>1028</v>
      </c>
      <c r="D6" s="7" t="s">
        <v>1036</v>
      </c>
      <c r="E6" s="7"/>
      <c r="F6" s="10">
        <v>45713</v>
      </c>
      <c r="G6" s="10">
        <v>45834</v>
      </c>
      <c r="H6" s="11">
        <v>46928</v>
      </c>
    </row>
    <row r="7" spans="1:8">
      <c r="A7" s="265" t="s">
        <v>1037</v>
      </c>
      <c r="B7" s="12" t="s">
        <v>1038</v>
      </c>
      <c r="C7" s="257" t="s">
        <v>1028</v>
      </c>
      <c r="D7" s="13" t="s">
        <v>1039</v>
      </c>
      <c r="E7" s="259" t="s">
        <v>1040</v>
      </c>
      <c r="F7" s="259"/>
      <c r="G7" s="259"/>
      <c r="H7" s="280">
        <v>46544</v>
      </c>
    </row>
    <row r="8" spans="1:8" ht="24">
      <c r="A8" s="266"/>
      <c r="B8" s="15" t="s">
        <v>1041</v>
      </c>
      <c r="C8" s="268"/>
      <c r="D8" s="16" t="s">
        <v>1042</v>
      </c>
      <c r="E8" s="269"/>
      <c r="F8" s="269"/>
      <c r="G8" s="269"/>
      <c r="H8" s="281"/>
    </row>
    <row r="9" spans="1:8" ht="36">
      <c r="A9" s="34" t="s">
        <v>1043</v>
      </c>
      <c r="B9" s="5" t="s">
        <v>1044</v>
      </c>
      <c r="C9" s="6" t="s">
        <v>1028</v>
      </c>
      <c r="D9" s="7" t="s">
        <v>794</v>
      </c>
      <c r="E9" s="7" t="s">
        <v>1045</v>
      </c>
      <c r="F9" s="8"/>
      <c r="G9" s="8"/>
      <c r="H9" s="11">
        <v>46365</v>
      </c>
    </row>
    <row r="10" spans="1:8" ht="48">
      <c r="A10" s="34" t="s">
        <v>1046</v>
      </c>
      <c r="B10" s="5" t="s">
        <v>1047</v>
      </c>
      <c r="C10" s="6" t="s">
        <v>1028</v>
      </c>
      <c r="D10" s="7" t="s">
        <v>1048</v>
      </c>
      <c r="E10" s="7"/>
      <c r="F10" s="8"/>
      <c r="G10" s="8"/>
      <c r="H10" s="18" t="s">
        <v>1049</v>
      </c>
    </row>
    <row r="11" spans="1:8" ht="48">
      <c r="A11" s="34" t="s">
        <v>1050</v>
      </c>
      <c r="B11" s="5" t="s">
        <v>1051</v>
      </c>
      <c r="C11" s="6" t="s">
        <v>1028</v>
      </c>
      <c r="D11" s="7" t="s">
        <v>686</v>
      </c>
      <c r="E11" s="7" t="s">
        <v>1052</v>
      </c>
      <c r="F11" s="10">
        <v>45971</v>
      </c>
      <c r="G11" s="10">
        <v>46062</v>
      </c>
      <c r="H11" s="11">
        <v>47156</v>
      </c>
    </row>
    <row r="12" spans="1:8" ht="36">
      <c r="A12" s="34" t="s">
        <v>1053</v>
      </c>
      <c r="B12" s="5" t="s">
        <v>1054</v>
      </c>
      <c r="C12" s="19" t="s">
        <v>1055</v>
      </c>
      <c r="D12" s="7" t="s">
        <v>760</v>
      </c>
      <c r="E12" s="7" t="s">
        <v>1056</v>
      </c>
      <c r="F12" s="10">
        <v>46015</v>
      </c>
      <c r="G12" s="10">
        <v>46024</v>
      </c>
      <c r="H12" s="11">
        <v>46144</v>
      </c>
    </row>
    <row r="13" spans="1:8">
      <c r="A13" s="265" t="s">
        <v>1057</v>
      </c>
      <c r="B13" s="255" t="s">
        <v>1058</v>
      </c>
      <c r="C13" s="257" t="s">
        <v>1028</v>
      </c>
      <c r="D13" s="259" t="s">
        <v>189</v>
      </c>
      <c r="E13" s="259" t="s">
        <v>1059</v>
      </c>
      <c r="F13" s="243">
        <v>46056</v>
      </c>
      <c r="G13" s="243">
        <v>46060</v>
      </c>
      <c r="H13" s="14">
        <v>46179</v>
      </c>
    </row>
    <row r="14" spans="1:8" ht="24">
      <c r="A14" s="270"/>
      <c r="B14" s="271"/>
      <c r="C14" s="272"/>
      <c r="D14" s="273"/>
      <c r="E14" s="273"/>
      <c r="F14" s="263"/>
      <c r="G14" s="263"/>
      <c r="H14" s="20" t="s">
        <v>1060</v>
      </c>
    </row>
    <row r="15" spans="1:8" ht="24">
      <c r="A15" s="266"/>
      <c r="B15" s="267"/>
      <c r="C15" s="268"/>
      <c r="D15" s="269"/>
      <c r="E15" s="269"/>
      <c r="F15" s="264"/>
      <c r="G15" s="264"/>
      <c r="H15" s="17" t="s">
        <v>1061</v>
      </c>
    </row>
    <row r="16" spans="1:8" ht="27" customHeight="1">
      <c r="A16" s="265" t="s">
        <v>1062</v>
      </c>
      <c r="B16" s="255" t="s">
        <v>1063</v>
      </c>
      <c r="C16" s="274" t="s">
        <v>1055</v>
      </c>
      <c r="D16" s="259" t="s">
        <v>669</v>
      </c>
      <c r="E16" s="259" t="s">
        <v>1064</v>
      </c>
      <c r="F16" s="243">
        <v>46059</v>
      </c>
      <c r="G16" s="243">
        <v>46060</v>
      </c>
      <c r="H16" s="14">
        <v>46159</v>
      </c>
    </row>
    <row r="17" spans="1:8" ht="36">
      <c r="A17" s="266"/>
      <c r="B17" s="267"/>
      <c r="C17" s="275"/>
      <c r="D17" s="269"/>
      <c r="E17" s="269"/>
      <c r="F17" s="264"/>
      <c r="G17" s="264"/>
      <c r="H17" s="17" t="s">
        <v>1065</v>
      </c>
    </row>
    <row r="18" spans="1:8" ht="27" customHeight="1">
      <c r="A18" s="265" t="s">
        <v>1066</v>
      </c>
      <c r="B18" s="255" t="s">
        <v>1067</v>
      </c>
      <c r="C18" s="274" t="s">
        <v>1055</v>
      </c>
      <c r="D18" s="259" t="s">
        <v>1068</v>
      </c>
      <c r="E18" s="259" t="s">
        <v>1040</v>
      </c>
      <c r="F18" s="243">
        <v>46078</v>
      </c>
      <c r="G18" s="243">
        <v>46080</v>
      </c>
      <c r="H18" s="21">
        <v>46125</v>
      </c>
    </row>
    <row r="19" spans="1:8" ht="36">
      <c r="A19" s="266"/>
      <c r="B19" s="267"/>
      <c r="C19" s="275"/>
      <c r="D19" s="269"/>
      <c r="E19" s="269"/>
      <c r="F19" s="264"/>
      <c r="G19" s="264"/>
      <c r="H19" s="22" t="s">
        <v>1069</v>
      </c>
    </row>
    <row r="20" spans="1:8" ht="36">
      <c r="A20" s="34" t="s">
        <v>1070</v>
      </c>
      <c r="B20" s="5" t="s">
        <v>617</v>
      </c>
      <c r="C20" s="6" t="s">
        <v>1028</v>
      </c>
      <c r="D20" s="7" t="s">
        <v>1071</v>
      </c>
      <c r="E20" s="7" t="s">
        <v>1072</v>
      </c>
      <c r="F20" s="10">
        <v>46087</v>
      </c>
      <c r="G20" s="10">
        <v>46094</v>
      </c>
      <c r="H20" s="11">
        <v>46724</v>
      </c>
    </row>
    <row r="21" spans="1:8">
      <c r="A21" s="265" t="s">
        <v>1073</v>
      </c>
      <c r="B21" s="255" t="s">
        <v>660</v>
      </c>
      <c r="C21" s="257" t="s">
        <v>1028</v>
      </c>
      <c r="D21" s="259" t="s">
        <v>661</v>
      </c>
      <c r="E21" s="259" t="s">
        <v>1064</v>
      </c>
      <c r="F21" s="243">
        <v>46097</v>
      </c>
      <c r="G21" s="243">
        <v>46098</v>
      </c>
      <c r="H21" s="14">
        <v>46197</v>
      </c>
    </row>
    <row r="22" spans="1:8" ht="36">
      <c r="A22" s="266"/>
      <c r="B22" s="267"/>
      <c r="C22" s="268"/>
      <c r="D22" s="269"/>
      <c r="E22" s="269"/>
      <c r="F22" s="264"/>
      <c r="G22" s="264"/>
      <c r="H22" s="17" t="s">
        <v>1065</v>
      </c>
    </row>
    <row r="23" spans="1:8">
      <c r="A23" s="265" t="s">
        <v>1074</v>
      </c>
      <c r="B23" s="255" t="s">
        <v>188</v>
      </c>
      <c r="C23" s="257" t="s">
        <v>1028</v>
      </c>
      <c r="D23" s="259" t="s">
        <v>189</v>
      </c>
      <c r="E23" s="259" t="s">
        <v>1075</v>
      </c>
      <c r="F23" s="243">
        <v>46097</v>
      </c>
      <c r="G23" s="23" t="s">
        <v>1076</v>
      </c>
      <c r="H23" s="261" t="s">
        <v>1076</v>
      </c>
    </row>
    <row r="24" spans="1:8" ht="24">
      <c r="A24" s="266"/>
      <c r="B24" s="267"/>
      <c r="C24" s="268"/>
      <c r="D24" s="269"/>
      <c r="E24" s="269"/>
      <c r="F24" s="264"/>
      <c r="G24" s="24" t="s">
        <v>1077</v>
      </c>
      <c r="H24" s="262"/>
    </row>
    <row r="25" spans="1:8" ht="36">
      <c r="A25" s="34" t="s">
        <v>1078</v>
      </c>
      <c r="B25" s="5" t="s">
        <v>602</v>
      </c>
      <c r="C25" s="6" t="s">
        <v>1028</v>
      </c>
      <c r="D25" s="7" t="s">
        <v>603</v>
      </c>
      <c r="E25" s="7" t="s">
        <v>1040</v>
      </c>
      <c r="F25" s="10">
        <v>46100</v>
      </c>
      <c r="G25" s="10">
        <v>46106</v>
      </c>
      <c r="H25" s="11">
        <v>46375</v>
      </c>
    </row>
    <row r="26" spans="1:8" ht="48">
      <c r="A26" s="34" t="s">
        <v>1079</v>
      </c>
      <c r="B26" s="5" t="s">
        <v>131</v>
      </c>
      <c r="C26" s="6" t="s">
        <v>1028</v>
      </c>
      <c r="D26" s="7" t="s">
        <v>1080</v>
      </c>
      <c r="E26" s="7" t="s">
        <v>1045</v>
      </c>
      <c r="F26" s="10">
        <v>46101</v>
      </c>
      <c r="G26" s="10">
        <v>46106</v>
      </c>
      <c r="H26" s="11">
        <v>46470</v>
      </c>
    </row>
    <row r="27" spans="1:8" ht="48">
      <c r="A27" s="34" t="s">
        <v>116</v>
      </c>
      <c r="B27" s="5" t="s">
        <v>1081</v>
      </c>
      <c r="C27" s="6" t="s">
        <v>1028</v>
      </c>
      <c r="D27" s="7" t="s">
        <v>1080</v>
      </c>
      <c r="E27" s="7" t="s">
        <v>1045</v>
      </c>
      <c r="F27" s="10">
        <v>46099</v>
      </c>
      <c r="G27" s="10">
        <v>46104</v>
      </c>
      <c r="H27" s="11">
        <v>46468</v>
      </c>
    </row>
    <row r="28" spans="1:8">
      <c r="A28" s="265" t="s">
        <v>1082</v>
      </c>
      <c r="B28" s="255" t="s">
        <v>1083</v>
      </c>
      <c r="C28" s="257" t="s">
        <v>1028</v>
      </c>
      <c r="D28" s="259" t="s">
        <v>498</v>
      </c>
      <c r="E28" s="259"/>
      <c r="F28" s="243">
        <v>46120</v>
      </c>
      <c r="G28" s="23" t="s">
        <v>1076</v>
      </c>
      <c r="H28" s="25" t="s">
        <v>1076</v>
      </c>
    </row>
    <row r="29" spans="1:8" ht="60">
      <c r="A29" s="270"/>
      <c r="B29" s="271"/>
      <c r="C29" s="272"/>
      <c r="D29" s="273"/>
      <c r="E29" s="273"/>
      <c r="F29" s="263"/>
      <c r="G29" s="26" t="s">
        <v>1084</v>
      </c>
      <c r="H29" s="27" t="s">
        <v>1085</v>
      </c>
    </row>
    <row r="30" spans="1:8" ht="48">
      <c r="A30" s="270"/>
      <c r="B30" s="271"/>
      <c r="C30" s="272"/>
      <c r="D30" s="273"/>
      <c r="E30" s="273"/>
      <c r="F30" s="263"/>
      <c r="G30" s="26"/>
      <c r="H30" s="27" t="s">
        <v>1086</v>
      </c>
    </row>
    <row r="31" spans="1:8" ht="48">
      <c r="A31" s="266"/>
      <c r="B31" s="267"/>
      <c r="C31" s="268"/>
      <c r="D31" s="269"/>
      <c r="E31" s="269"/>
      <c r="F31" s="264"/>
      <c r="G31" s="24"/>
      <c r="H31" s="28" t="s">
        <v>1087</v>
      </c>
    </row>
    <row r="32" spans="1:8">
      <c r="A32" s="278" t="s">
        <v>1088</v>
      </c>
      <c r="B32" s="255" t="s">
        <v>1089</v>
      </c>
      <c r="C32" s="257" t="s">
        <v>1028</v>
      </c>
      <c r="D32" s="259" t="s">
        <v>1090</v>
      </c>
      <c r="E32" s="259"/>
      <c r="F32" s="243">
        <v>46120</v>
      </c>
      <c r="G32" s="29">
        <v>46132</v>
      </c>
      <c r="H32" s="25" t="s">
        <v>1076</v>
      </c>
    </row>
    <row r="33" spans="1:8" ht="48">
      <c r="A33" s="279"/>
      <c r="B33" s="267"/>
      <c r="C33" s="268"/>
      <c r="D33" s="269"/>
      <c r="E33" s="269"/>
      <c r="F33" s="264"/>
      <c r="G33" s="17" t="s">
        <v>1091</v>
      </c>
      <c r="H33" s="28" t="s">
        <v>1092</v>
      </c>
    </row>
    <row r="34" spans="1:8">
      <c r="A34" s="253" t="s">
        <v>1093</v>
      </c>
      <c r="B34" s="255" t="s">
        <v>1094</v>
      </c>
      <c r="C34" s="257" t="s">
        <v>1028</v>
      </c>
      <c r="D34" s="259" t="s">
        <v>1095</v>
      </c>
      <c r="E34" s="259" t="s">
        <v>1096</v>
      </c>
      <c r="F34" s="243">
        <v>45897</v>
      </c>
      <c r="G34" s="243">
        <v>45985</v>
      </c>
      <c r="H34" s="25" t="s">
        <v>1076</v>
      </c>
    </row>
    <row r="35" spans="1:8" ht="48">
      <c r="A35" s="254"/>
      <c r="B35" s="256"/>
      <c r="C35" s="258"/>
      <c r="D35" s="260"/>
      <c r="E35" s="260"/>
      <c r="F35" s="244"/>
      <c r="G35" s="244"/>
      <c r="H35" s="30" t="s">
        <v>1097</v>
      </c>
    </row>
    <row r="36" spans="1:8">
      <c r="A36" s="245" t="s">
        <v>1098</v>
      </c>
      <c r="B36" s="245" t="s">
        <v>1099</v>
      </c>
      <c r="C36" s="247" t="s">
        <v>1028</v>
      </c>
      <c r="D36" s="249" t="s">
        <v>537</v>
      </c>
      <c r="E36" s="249" t="s">
        <v>1096</v>
      </c>
      <c r="F36" s="251">
        <v>45848</v>
      </c>
      <c r="G36" s="249" t="s">
        <v>1100</v>
      </c>
      <c r="H36" s="31" t="s">
        <v>1076</v>
      </c>
    </row>
    <row r="37" spans="1:8" ht="48">
      <c r="A37" s="246"/>
      <c r="B37" s="246"/>
      <c r="C37" s="248"/>
      <c r="D37" s="250"/>
      <c r="E37" s="250"/>
      <c r="F37" s="252"/>
      <c r="G37" s="250"/>
      <c r="H37" s="32" t="s">
        <v>1101</v>
      </c>
    </row>
    <row r="38" spans="1:8" ht="36" customHeight="1">
      <c r="A38" s="249" t="s">
        <v>1102</v>
      </c>
      <c r="B38" s="276" t="s">
        <v>1103</v>
      </c>
      <c r="C38" s="247" t="s">
        <v>1028</v>
      </c>
      <c r="D38" s="249" t="s">
        <v>1104</v>
      </c>
      <c r="E38" s="249" t="s">
        <v>1096</v>
      </c>
      <c r="F38" s="238">
        <v>45897</v>
      </c>
      <c r="G38" s="240" t="s">
        <v>1105</v>
      </c>
      <c r="H38" s="31" t="s">
        <v>1076</v>
      </c>
    </row>
    <row r="39" spans="1:8" ht="48">
      <c r="A39" s="250"/>
      <c r="B39" s="277"/>
      <c r="C39" s="248"/>
      <c r="D39" s="250"/>
      <c r="E39" s="250"/>
      <c r="F39" s="239"/>
      <c r="G39" s="241"/>
      <c r="H39" s="33" t="s">
        <v>1101</v>
      </c>
    </row>
  </sheetData>
  <mergeCells count="75">
    <mergeCell ref="H7:H8"/>
    <mergeCell ref="F23:F24"/>
    <mergeCell ref="A18:A19"/>
    <mergeCell ref="B18:B19"/>
    <mergeCell ref="C18:C19"/>
    <mergeCell ref="D18:D19"/>
    <mergeCell ref="E18:E19"/>
    <mergeCell ref="F18:F19"/>
    <mergeCell ref="A7:A8"/>
    <mergeCell ref="C7:C8"/>
    <mergeCell ref="E7:E8"/>
    <mergeCell ref="F7:F8"/>
    <mergeCell ref="G7:G8"/>
    <mergeCell ref="G13:G15"/>
    <mergeCell ref="A16:A17"/>
    <mergeCell ref="B16:B17"/>
    <mergeCell ref="E16:E17"/>
    <mergeCell ref="F16:F17"/>
    <mergeCell ref="G16:G17"/>
    <mergeCell ref="A38:A39"/>
    <mergeCell ref="B38:B39"/>
    <mergeCell ref="C38:C39"/>
    <mergeCell ref="D38:D39"/>
    <mergeCell ref="A32:A33"/>
    <mergeCell ref="B32:B33"/>
    <mergeCell ref="C32:C33"/>
    <mergeCell ref="D32:D33"/>
    <mergeCell ref="E34:E35"/>
    <mergeCell ref="F34:F35"/>
    <mergeCell ref="E32:E33"/>
    <mergeCell ref="F32:F33"/>
    <mergeCell ref="E38:E39"/>
    <mergeCell ref="F13:F15"/>
    <mergeCell ref="G18:G19"/>
    <mergeCell ref="A21:A22"/>
    <mergeCell ref="B21:B22"/>
    <mergeCell ref="C21:C22"/>
    <mergeCell ref="D21:D22"/>
    <mergeCell ref="E21:E22"/>
    <mergeCell ref="F21:F22"/>
    <mergeCell ref="G21:G22"/>
    <mergeCell ref="A13:A15"/>
    <mergeCell ref="B13:B15"/>
    <mergeCell ref="C13:C15"/>
    <mergeCell ref="D13:D15"/>
    <mergeCell ref="E13:E15"/>
    <mergeCell ref="C16:C17"/>
    <mergeCell ref="D16:D17"/>
    <mergeCell ref="F28:F31"/>
    <mergeCell ref="A23:A24"/>
    <mergeCell ref="B23:B24"/>
    <mergeCell ref="C23:C24"/>
    <mergeCell ref="D23:D24"/>
    <mergeCell ref="E23:E24"/>
    <mergeCell ref="A28:A31"/>
    <mergeCell ref="B28:B31"/>
    <mergeCell ref="C28:C31"/>
    <mergeCell ref="D28:D31"/>
    <mergeCell ref="E28:E31"/>
    <mergeCell ref="F38:F39"/>
    <mergeCell ref="G38:G39"/>
    <mergeCell ref="A1:H1"/>
    <mergeCell ref="G34:G35"/>
    <mergeCell ref="A36:A37"/>
    <mergeCell ref="B36:B37"/>
    <mergeCell ref="C36:C37"/>
    <mergeCell ref="D36:D37"/>
    <mergeCell ref="E36:E37"/>
    <mergeCell ref="F36:F37"/>
    <mergeCell ref="G36:G37"/>
    <mergeCell ref="A34:A35"/>
    <mergeCell ref="B34:B35"/>
    <mergeCell ref="C34:C35"/>
    <mergeCell ref="D34:D35"/>
    <mergeCell ref="H23:H2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E65C4-72DB-46C7-9521-2CAF34838D63}">
  <dimension ref="A1:H11"/>
  <sheetViews>
    <sheetView topLeftCell="A7" zoomScale="70" zoomScaleNormal="70" workbookViewId="0">
      <pane xSplit="1" topLeftCell="B1" activePane="topRight" state="frozen"/>
      <selection activeCell="A2" sqref="A2"/>
      <selection pane="topRight" sqref="A1:H11"/>
    </sheetView>
  </sheetViews>
  <sheetFormatPr baseColWidth="10" defaultColWidth="9.140625" defaultRowHeight="15"/>
  <cols>
    <col min="1" max="1" width="40.28515625" customWidth="1"/>
    <col min="2" max="2" width="25" style="133" customWidth="1"/>
    <col min="3" max="3" width="26.85546875" customWidth="1"/>
    <col min="4" max="4" width="13.85546875" customWidth="1"/>
    <col min="5" max="5" width="15.7109375" customWidth="1"/>
    <col min="6" max="7" width="25" customWidth="1"/>
    <col min="8" max="8" width="89.5703125" style="133" customWidth="1"/>
  </cols>
  <sheetData>
    <row r="1" spans="1:8" ht="30" customHeight="1">
      <c r="A1" s="134" t="s">
        <v>11</v>
      </c>
      <c r="B1" s="134" t="s">
        <v>13</v>
      </c>
      <c r="C1" s="135" t="s">
        <v>31</v>
      </c>
      <c r="D1" s="135" t="s">
        <v>1106</v>
      </c>
      <c r="E1" s="135" t="s">
        <v>1107</v>
      </c>
      <c r="F1" s="134" t="s">
        <v>1108</v>
      </c>
      <c r="G1" s="134" t="s">
        <v>1109</v>
      </c>
      <c r="H1" s="134" t="s">
        <v>1110</v>
      </c>
    </row>
    <row r="2" spans="1:8" ht="131.44999999999999" customHeight="1">
      <c r="A2" s="109" t="s">
        <v>116</v>
      </c>
      <c r="B2" s="110" t="s">
        <v>118</v>
      </c>
      <c r="C2" s="112">
        <v>46468</v>
      </c>
      <c r="D2" s="112" t="s">
        <v>1111</v>
      </c>
      <c r="E2" s="136">
        <v>44000</v>
      </c>
      <c r="F2" s="111">
        <v>0</v>
      </c>
      <c r="G2" s="111">
        <v>44000</v>
      </c>
      <c r="H2" s="137" t="s">
        <v>1112</v>
      </c>
    </row>
    <row r="3" spans="1:8" ht="131.44999999999999" customHeight="1">
      <c r="A3" s="60" t="s">
        <v>127</v>
      </c>
      <c r="B3" s="63" t="s">
        <v>129</v>
      </c>
      <c r="C3" s="74">
        <v>46470</v>
      </c>
      <c r="D3" s="112" t="s">
        <v>1111</v>
      </c>
      <c r="E3" s="136">
        <v>2000</v>
      </c>
      <c r="F3" s="64">
        <v>0</v>
      </c>
      <c r="G3" s="64">
        <v>2000</v>
      </c>
      <c r="H3" s="137" t="s">
        <v>1113</v>
      </c>
    </row>
    <row r="4" spans="1:8" ht="131.44999999999999" customHeight="1">
      <c r="A4" s="60" t="s">
        <v>1114</v>
      </c>
      <c r="B4" s="63" t="s">
        <v>153</v>
      </c>
      <c r="C4" s="74">
        <v>46531</v>
      </c>
      <c r="D4" s="112" t="s">
        <v>1111</v>
      </c>
      <c r="E4" s="136">
        <v>13650</v>
      </c>
      <c r="F4" s="64">
        <v>0</v>
      </c>
      <c r="G4" s="64">
        <v>13650</v>
      </c>
      <c r="H4" s="137" t="s">
        <v>1115</v>
      </c>
    </row>
    <row r="5" spans="1:8" ht="131.44999999999999" customHeight="1">
      <c r="A5" s="60" t="s">
        <v>1116</v>
      </c>
      <c r="B5" s="63" t="s">
        <v>180</v>
      </c>
      <c r="C5" s="74">
        <v>46527</v>
      </c>
      <c r="D5" s="112" t="s">
        <v>1111</v>
      </c>
      <c r="E5" s="136">
        <v>44000</v>
      </c>
      <c r="F5" s="64">
        <v>0</v>
      </c>
      <c r="G5" s="64">
        <v>44000</v>
      </c>
      <c r="H5" s="137" t="s">
        <v>1117</v>
      </c>
    </row>
    <row r="6" spans="1:8" ht="131.44999999999999" customHeight="1">
      <c r="A6" s="60" t="s">
        <v>1074</v>
      </c>
      <c r="B6" s="63" t="s">
        <v>187</v>
      </c>
      <c r="C6" s="74">
        <v>46334</v>
      </c>
      <c r="D6" s="112" t="s">
        <v>1111</v>
      </c>
      <c r="E6" s="136">
        <v>90000</v>
      </c>
      <c r="F6" s="64">
        <v>15000</v>
      </c>
      <c r="G6" s="64">
        <v>75000</v>
      </c>
      <c r="H6" s="137" t="s">
        <v>1118</v>
      </c>
    </row>
    <row r="7" spans="1:8" ht="131.44999999999999" customHeight="1">
      <c r="A7" s="60" t="s">
        <v>1119</v>
      </c>
      <c r="B7" s="80" t="s">
        <v>333</v>
      </c>
      <c r="C7" s="82" t="s">
        <v>43</v>
      </c>
      <c r="D7" s="112" t="s">
        <v>1111</v>
      </c>
      <c r="E7" s="136">
        <v>25500</v>
      </c>
      <c r="F7" s="81">
        <v>0</v>
      </c>
      <c r="G7" s="81">
        <v>25500</v>
      </c>
      <c r="H7" s="137" t="s">
        <v>1120</v>
      </c>
    </row>
    <row r="8" spans="1:8" ht="131.44999999999999" customHeight="1">
      <c r="A8" s="84" t="s">
        <v>975</v>
      </c>
      <c r="B8" s="80" t="s">
        <v>421</v>
      </c>
      <c r="C8" s="82" t="s">
        <v>43</v>
      </c>
      <c r="D8" s="112" t="s">
        <v>1111</v>
      </c>
      <c r="E8" s="136">
        <v>88000</v>
      </c>
      <c r="F8" s="81">
        <v>44000</v>
      </c>
      <c r="G8" s="81">
        <v>44000</v>
      </c>
      <c r="H8" s="137" t="s">
        <v>1121</v>
      </c>
    </row>
    <row r="9" spans="1:8" ht="131.44999999999999" customHeight="1">
      <c r="A9" s="84" t="s">
        <v>1122</v>
      </c>
      <c r="B9" s="80" t="s">
        <v>429</v>
      </c>
      <c r="C9" s="82" t="s">
        <v>43</v>
      </c>
      <c r="D9" s="112" t="s">
        <v>1111</v>
      </c>
      <c r="E9" s="136">
        <v>88000</v>
      </c>
      <c r="F9" s="81">
        <v>44000</v>
      </c>
      <c r="G9" s="81">
        <v>44000</v>
      </c>
      <c r="H9" s="137" t="s">
        <v>1123</v>
      </c>
    </row>
    <row r="10" spans="1:8" ht="131.44999999999999" customHeight="1">
      <c r="A10" s="60" t="s">
        <v>507</v>
      </c>
      <c r="B10" s="63" t="s">
        <v>509</v>
      </c>
      <c r="C10" s="85">
        <v>46344</v>
      </c>
      <c r="D10" s="112" t="s">
        <v>1111</v>
      </c>
      <c r="E10" s="136">
        <v>223294</v>
      </c>
      <c r="F10" s="81">
        <v>111647</v>
      </c>
      <c r="G10" s="81">
        <v>111647</v>
      </c>
      <c r="H10" s="137" t="s">
        <v>1124</v>
      </c>
    </row>
    <row r="11" spans="1:8" ht="131.44999999999999" customHeight="1">
      <c r="A11" s="60" t="s">
        <v>515</v>
      </c>
      <c r="B11" s="63" t="s">
        <v>1125</v>
      </c>
      <c r="C11" s="85" t="s">
        <v>1126</v>
      </c>
      <c r="D11" s="112" t="s">
        <v>1111</v>
      </c>
      <c r="E11" s="136">
        <v>88000</v>
      </c>
      <c r="F11" s="81">
        <v>44000</v>
      </c>
      <c r="G11" s="81">
        <v>44000</v>
      </c>
      <c r="H11" s="137" t="s">
        <v>1127</v>
      </c>
    </row>
  </sheetData>
  <conditionalFormatting sqref="A1:A1048576">
    <cfRule type="duplicateValues" dxfId="13" priority="1"/>
  </conditionalFormatting>
  <conditionalFormatting sqref="F2:G11">
    <cfRule type="cellIs" dxfId="12" priority="2" operator="equal">
      <formula>"-"</formula>
    </cfRule>
    <cfRule type="cellIs" dxfId="11" priority="3" operator="notBetween">
      <formula>0</formula>
      <formula>1000000000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B39F5-5F6D-4FB7-AD8C-3B5165EB5A4A}">
  <sheetPr>
    <tabColor rgb="FF99CCFF"/>
  </sheetPr>
  <dimension ref="A1:AN91"/>
  <sheetViews>
    <sheetView zoomScale="70" zoomScaleNormal="70" workbookViewId="0">
      <pane ySplit="3" topLeftCell="A4" activePane="bottomLeft" state="frozen"/>
      <selection activeCell="R1" sqref="R1"/>
      <selection pane="bottomLeft" activeCell="AC4" sqref="AC4"/>
    </sheetView>
  </sheetViews>
  <sheetFormatPr baseColWidth="10" defaultColWidth="43.5703125" defaultRowHeight="15"/>
  <cols>
    <col min="1" max="1" width="9.7109375" style="1" customWidth="1"/>
    <col min="2" max="2" width="15.42578125" style="1" customWidth="1"/>
    <col min="3" max="3" width="15.7109375" style="1" customWidth="1"/>
    <col min="4" max="4" width="13.5703125" style="1" customWidth="1"/>
    <col min="5" max="5" width="15" style="1" customWidth="1"/>
    <col min="6" max="6" width="33.42578125" style="2" customWidth="1"/>
    <col min="7" max="7" width="17.140625" style="35" customWidth="1"/>
    <col min="8" max="8" width="24.28515625" style="2" customWidth="1"/>
    <col min="9" max="9" width="29.7109375" style="1" customWidth="1"/>
    <col min="10" max="10" width="16.42578125" style="1" customWidth="1"/>
    <col min="11" max="15" width="14.7109375" style="1" customWidth="1"/>
    <col min="16" max="16" width="17" style="1" customWidth="1"/>
    <col min="17" max="18" width="16.5703125" style="1" customWidth="1"/>
    <col min="19" max="19" width="20.28515625" style="1" customWidth="1"/>
    <col min="20" max="20" width="18" style="1" customWidth="1"/>
    <col min="21" max="22" width="23.28515625" style="1" customWidth="1"/>
    <col min="23" max="23" width="26.42578125" style="1" customWidth="1"/>
    <col min="24" max="24" width="23.28515625" style="1" customWidth="1"/>
    <col min="25" max="25" width="25.42578125" style="1" customWidth="1"/>
    <col min="26" max="26" width="43.28515625" style="1" customWidth="1"/>
    <col min="27" max="27" width="14.28515625" style="1" customWidth="1"/>
    <col min="28" max="31" width="22.28515625" style="1" customWidth="1"/>
    <col min="32" max="32" width="27.42578125" style="1" customWidth="1"/>
    <col min="33" max="36" width="21.7109375" style="1" customWidth="1"/>
    <col min="37" max="37" width="29.28515625" style="1" customWidth="1"/>
    <col min="38" max="38" width="18.7109375" style="1" customWidth="1"/>
    <col min="39" max="39" width="13.140625" style="1" customWidth="1"/>
    <col min="40" max="40" width="21.28515625" style="1" customWidth="1"/>
    <col min="41" max="16384" width="43.5703125" style="1"/>
  </cols>
  <sheetData>
    <row r="1" spans="1:40" ht="19.899999999999999" customHeight="1" thickBot="1">
      <c r="A1" s="231" t="s">
        <v>0</v>
      </c>
      <c r="B1" s="232"/>
      <c r="C1" s="232"/>
      <c r="D1" s="232"/>
      <c r="E1" s="232"/>
      <c r="F1" s="232"/>
      <c r="G1" s="232"/>
      <c r="H1" s="232"/>
      <c r="I1" s="232"/>
      <c r="J1" s="232"/>
      <c r="K1" s="232"/>
      <c r="L1" s="232"/>
      <c r="M1" s="232"/>
      <c r="N1" s="232"/>
      <c r="O1" s="232"/>
      <c r="P1" s="232"/>
      <c r="Q1" s="232"/>
      <c r="R1" s="232"/>
      <c r="S1" s="232"/>
      <c r="T1" s="232"/>
      <c r="U1" s="232"/>
      <c r="V1" s="232"/>
      <c r="W1" s="232"/>
      <c r="X1" s="232"/>
      <c r="Y1" s="232"/>
      <c r="Z1" s="232"/>
      <c r="AA1" s="232"/>
      <c r="AB1" s="232"/>
      <c r="AC1" s="232"/>
      <c r="AD1" s="232"/>
      <c r="AE1" s="232"/>
      <c r="AF1" s="232"/>
      <c r="AG1" s="232"/>
      <c r="AH1" s="232"/>
      <c r="AI1" s="232"/>
      <c r="AJ1" s="232"/>
      <c r="AK1" s="282"/>
    </row>
    <row r="2" spans="1:40" s="36" customFormat="1" ht="19.899999999999999" customHeight="1" thickBot="1">
      <c r="A2" s="283" t="s">
        <v>1</v>
      </c>
      <c r="B2" s="284"/>
      <c r="C2" s="284"/>
      <c r="D2" s="284"/>
      <c r="E2" s="284"/>
      <c r="F2" s="284"/>
      <c r="G2" s="284"/>
      <c r="H2" s="284"/>
      <c r="I2" s="284"/>
      <c r="J2" s="284"/>
      <c r="K2" s="284"/>
      <c r="L2" s="284"/>
      <c r="M2" s="284"/>
      <c r="N2" s="284"/>
      <c r="O2" s="284"/>
      <c r="P2" s="285" t="s">
        <v>1128</v>
      </c>
      <c r="Q2" s="286"/>
      <c r="R2" s="286"/>
      <c r="S2" s="286"/>
      <c r="T2" s="286"/>
      <c r="U2" s="286"/>
      <c r="V2" s="286"/>
      <c r="W2" s="286"/>
      <c r="X2" s="286"/>
      <c r="Y2" s="286"/>
      <c r="Z2" s="286"/>
      <c r="AA2" s="287"/>
      <c r="AB2" s="288" t="s">
        <v>1129</v>
      </c>
      <c r="AC2" s="288"/>
      <c r="AD2" s="288"/>
      <c r="AE2" s="288"/>
      <c r="AF2" s="288"/>
      <c r="AG2" s="288"/>
      <c r="AH2" s="288"/>
      <c r="AI2" s="288"/>
      <c r="AJ2" s="288"/>
      <c r="AK2" s="289"/>
    </row>
    <row r="3" spans="1:40" ht="30" customHeight="1">
      <c r="A3" s="49" t="s">
        <v>4</v>
      </c>
      <c r="B3" s="50" t="s">
        <v>8</v>
      </c>
      <c r="C3" s="50" t="s">
        <v>9</v>
      </c>
      <c r="D3" s="51" t="s">
        <v>1130</v>
      </c>
      <c r="E3" s="51" t="s">
        <v>6</v>
      </c>
      <c r="F3" s="50" t="s">
        <v>11</v>
      </c>
      <c r="G3" s="50" t="s">
        <v>10</v>
      </c>
      <c r="H3" s="50" t="s">
        <v>13</v>
      </c>
      <c r="I3" s="50" t="s">
        <v>12</v>
      </c>
      <c r="J3" s="50" t="s">
        <v>14</v>
      </c>
      <c r="K3" s="50" t="s">
        <v>15</v>
      </c>
      <c r="L3" s="50" t="s">
        <v>16</v>
      </c>
      <c r="M3" s="51" t="s">
        <v>17</v>
      </c>
      <c r="N3" s="51" t="s">
        <v>1131</v>
      </c>
      <c r="O3" s="51" t="s">
        <v>19</v>
      </c>
      <c r="P3" s="52" t="s">
        <v>1015</v>
      </c>
      <c r="Q3" s="53" t="s">
        <v>1132</v>
      </c>
      <c r="R3" s="53" t="s">
        <v>22</v>
      </c>
      <c r="S3" s="53" t="s">
        <v>1133</v>
      </c>
      <c r="T3" s="53" t="s">
        <v>1134</v>
      </c>
      <c r="U3" s="54" t="s">
        <v>24</v>
      </c>
      <c r="V3" s="54" t="s">
        <v>25</v>
      </c>
      <c r="W3" s="54" t="s">
        <v>26</v>
      </c>
      <c r="X3" s="54" t="s">
        <v>27</v>
      </c>
      <c r="Y3" s="54" t="s">
        <v>1135</v>
      </c>
      <c r="Z3" s="54" t="s">
        <v>36</v>
      </c>
      <c r="AA3" s="54" t="s">
        <v>1136</v>
      </c>
      <c r="AB3" s="55" t="s">
        <v>1137</v>
      </c>
      <c r="AC3" s="55" t="s">
        <v>29</v>
      </c>
      <c r="AD3" s="55" t="s">
        <v>224</v>
      </c>
      <c r="AE3" s="56" t="s">
        <v>1138</v>
      </c>
      <c r="AF3" s="56" t="s">
        <v>1139</v>
      </c>
      <c r="AG3" s="56" t="s">
        <v>28</v>
      </c>
      <c r="AH3" s="57" t="s">
        <v>1140</v>
      </c>
      <c r="AI3" s="57" t="s">
        <v>1141</v>
      </c>
      <c r="AJ3" s="56" t="s">
        <v>32</v>
      </c>
      <c r="AK3" s="58" t="s">
        <v>1142</v>
      </c>
    </row>
    <row r="4" spans="1:40" ht="43.9" customHeight="1">
      <c r="A4" s="37" t="s">
        <v>1143</v>
      </c>
      <c r="B4" s="61" t="s">
        <v>45</v>
      </c>
      <c r="C4" s="61" t="s">
        <v>46</v>
      </c>
      <c r="D4" s="62" t="s">
        <v>43</v>
      </c>
      <c r="E4" s="61" t="s">
        <v>43</v>
      </c>
      <c r="F4" s="60" t="s">
        <v>48</v>
      </c>
      <c r="G4" s="76" t="s">
        <v>47</v>
      </c>
      <c r="H4" s="60" t="s">
        <v>50</v>
      </c>
      <c r="I4" s="62" t="s">
        <v>49</v>
      </c>
      <c r="J4" s="62" t="s">
        <v>51</v>
      </c>
      <c r="K4" s="63" t="s">
        <v>52</v>
      </c>
      <c r="L4" s="63" t="s">
        <v>52</v>
      </c>
      <c r="M4" s="63" t="s">
        <v>53</v>
      </c>
      <c r="N4" s="64">
        <v>6808.64</v>
      </c>
      <c r="O4" s="65">
        <v>46113</v>
      </c>
      <c r="P4" s="66" t="s">
        <v>882</v>
      </c>
      <c r="Q4" s="67" t="s">
        <v>423</v>
      </c>
      <c r="R4" s="86">
        <v>46154</v>
      </c>
      <c r="S4" s="68" t="str">
        <f ca="1">IFERROR(IF(OR(P4="Contratado",P4="No corresponde atención OGTI",P4="Desistido"),"-",IF('Seguimiento OIT_Backup'!$R4="","-",NETWORKDAYS('Seguimiento OIT_Backup'!$R4,TODAY(),{"02/04/2026";"03/04/2026"}))),"-")</f>
        <v>-</v>
      </c>
      <c r="T4" s="68" t="str">
        <f ca="1">IFERROR(IF(OR(D4="-",D4="",P4="Contratado"),"-",TODAY()-'Seguimiento OIT_Backup'!$D4),"-")</f>
        <v>-</v>
      </c>
      <c r="U4" s="69" t="s">
        <v>55</v>
      </c>
      <c r="V4" s="67" t="s">
        <v>56</v>
      </c>
      <c r="W4" s="62">
        <v>46154</v>
      </c>
      <c r="X4" s="69" t="s">
        <v>57</v>
      </c>
      <c r="Y4" s="63" t="s">
        <v>43</v>
      </c>
      <c r="Z4" s="70" t="s">
        <v>59</v>
      </c>
      <c r="AA4" s="63" t="s">
        <v>43</v>
      </c>
      <c r="AB4" s="61" t="s">
        <v>54</v>
      </c>
      <c r="AC4" s="68" t="str">
        <f ca="1">IFERROR(IF(AB4="-","-",IF(AB4="En ejecución","Ejecutandose",IF(AB4="Ejecutado",IF(AND(AJ4="-",G4="Bienes"),"No aplica",IF(AJ4="-","Falta informacion",IF(AI4&lt;TODAY(),"Vencido","Vigente"))),"-"))),"-")</f>
        <v>Vigente</v>
      </c>
      <c r="AD4" s="71" t="str">
        <f>CONCATENATE('Seguimiento OIT_Backup'!$U4," ",'Seguimiento OIT_Backup'!$V4)</f>
        <v>Orden de Compra 0000149-2026</v>
      </c>
      <c r="AE4" s="72" t="str">
        <f>IF(X4="","-",X4)</f>
        <v>E-BUSINESS DISTRIBUTION PERU S.A</v>
      </c>
      <c r="AF4" s="73">
        <f>IF(OR(W4="",W4="-"),"-",W4)</f>
        <v>46154</v>
      </c>
      <c r="AG4" s="63" t="s">
        <v>52</v>
      </c>
      <c r="AH4" s="74">
        <v>46154</v>
      </c>
      <c r="AI4" s="74">
        <v>46518</v>
      </c>
      <c r="AJ4" s="75" t="str">
        <f>IFERROR(IF(OR(AH4="-",AH4="",AI4="-",AI4=""),"-",CONCATENATE('Seguimiento OIT_Backup'!AI4-'Seguimiento OIT_Backup'!AH4+1," dias")),"-")</f>
        <v>365 dias</v>
      </c>
      <c r="AK4" s="63" t="s">
        <v>1144</v>
      </c>
      <c r="AL4" s="35" t="s">
        <v>1145</v>
      </c>
      <c r="AM4" s="35"/>
    </row>
    <row r="5" spans="1:40" ht="43.9" customHeight="1">
      <c r="A5" s="37" t="s">
        <v>1146</v>
      </c>
      <c r="B5" s="61" t="s">
        <v>45</v>
      </c>
      <c r="C5" s="61" t="s">
        <v>61</v>
      </c>
      <c r="D5" s="62" t="s">
        <v>43</v>
      </c>
      <c r="E5" s="62" t="s">
        <v>43</v>
      </c>
      <c r="F5" s="60" t="s">
        <v>62</v>
      </c>
      <c r="G5" s="76" t="s">
        <v>47</v>
      </c>
      <c r="H5" s="60" t="s">
        <v>1147</v>
      </c>
      <c r="I5" s="62" t="s">
        <v>63</v>
      </c>
      <c r="J5" s="62" t="s">
        <v>51</v>
      </c>
      <c r="K5" s="63" t="s">
        <v>52</v>
      </c>
      <c r="L5" s="63" t="s">
        <v>52</v>
      </c>
      <c r="M5" s="63" t="s">
        <v>53</v>
      </c>
      <c r="N5" s="64">
        <v>1192.2</v>
      </c>
      <c r="O5" s="65">
        <v>46113</v>
      </c>
      <c r="P5" s="66" t="s">
        <v>882</v>
      </c>
      <c r="Q5" s="67" t="s">
        <v>423</v>
      </c>
      <c r="R5" s="86">
        <v>46129</v>
      </c>
      <c r="S5" s="68" t="str">
        <f ca="1">IFERROR(IF(OR(P5="Contratado",P5="No corresponde atención OGTI",P5="Desistido"),"-",IF('Seguimiento OIT_Backup'!$R5="","-",NETWORKDAYS('Seguimiento OIT_Backup'!$R5,TODAY(),{"02/04/2026";"03/04/2026"}))),"-")</f>
        <v>-</v>
      </c>
      <c r="T5" s="68" t="str">
        <f ca="1">IFERROR(IF(OR(D5="-",D5="",P5="Contratado"),"-",TODAY()-'Seguimiento OIT_Backup'!$D5),"-")</f>
        <v>-</v>
      </c>
      <c r="U5" s="69" t="s">
        <v>55</v>
      </c>
      <c r="V5" s="67" t="s">
        <v>65</v>
      </c>
      <c r="W5" s="62">
        <v>46129</v>
      </c>
      <c r="X5" s="69" t="s">
        <v>66</v>
      </c>
      <c r="Y5" s="63" t="s">
        <v>43</v>
      </c>
      <c r="Z5" s="70" t="s">
        <v>59</v>
      </c>
      <c r="AA5" s="63" t="s">
        <v>43</v>
      </c>
      <c r="AB5" s="61" t="s">
        <v>54</v>
      </c>
      <c r="AC5" s="68" t="str">
        <f t="shared" ref="AC5:AC91" ca="1" si="0">IFERROR(IF(AB5="-","-",IF(AB5="En ejecución","Ejecutandose",IF(AB5="Ejecutado",IF(AND(AJ5="-",G5="Bienes"),"No aplica",IF(AJ5="-","Falta informacion",IF(AI5&lt;TODAY(),"Vencido","Vigente"))),"-"))),"-")</f>
        <v>No aplica</v>
      </c>
      <c r="AD5" s="71" t="str">
        <f>CONCATENATE('Seguimiento OIT_Backup'!$U5," ",'Seguimiento OIT_Backup'!$V5)</f>
        <v>Orden de Compra 0000115-2026</v>
      </c>
      <c r="AE5" s="72" t="str">
        <f t="shared" ref="AE5:AE91" si="1">IF(X5="","-",X5)</f>
        <v>VML COMPUTER S.A.C.</v>
      </c>
      <c r="AF5" s="73">
        <f t="shared" ref="AF5:AF91" si="2">IF(OR(W5="",W5="-"),"-",W5)</f>
        <v>46129</v>
      </c>
      <c r="AG5" s="63" t="s">
        <v>52</v>
      </c>
      <c r="AH5" s="74" t="s">
        <v>43</v>
      </c>
      <c r="AI5" s="74" t="s">
        <v>43</v>
      </c>
      <c r="AJ5" s="75" t="str">
        <f>IFERROR(IF(OR(AH5="-",AH5="",AI5="-",AI5=""),"-",CONCATENATE('Seguimiento OIT_Backup'!AI5-'Seguimiento OIT_Backup'!AH5+1," dias")),"-")</f>
        <v>-</v>
      </c>
      <c r="AK5" s="63" t="s">
        <v>67</v>
      </c>
      <c r="AL5" s="35"/>
      <c r="AM5" s="35"/>
      <c r="AN5" s="35" t="b">
        <f ca="1">AJ5&lt;TODAY()</f>
        <v>0</v>
      </c>
    </row>
    <row r="6" spans="1:40" ht="43.9" customHeight="1">
      <c r="A6" s="37" t="s">
        <v>1148</v>
      </c>
      <c r="B6" s="61" t="s">
        <v>45</v>
      </c>
      <c r="C6" s="61" t="s">
        <v>61</v>
      </c>
      <c r="D6" s="62" t="s">
        <v>43</v>
      </c>
      <c r="E6" s="62" t="s">
        <v>43</v>
      </c>
      <c r="F6" s="59" t="s">
        <v>70</v>
      </c>
      <c r="G6" s="76" t="s">
        <v>69</v>
      </c>
      <c r="H6" s="60" t="s">
        <v>72</v>
      </c>
      <c r="I6" s="62" t="s">
        <v>71</v>
      </c>
      <c r="J6" s="62" t="s">
        <v>73</v>
      </c>
      <c r="K6" s="63" t="s">
        <v>74</v>
      </c>
      <c r="L6" s="63" t="s">
        <v>75</v>
      </c>
      <c r="M6" s="63" t="s">
        <v>76</v>
      </c>
      <c r="N6" s="64">
        <v>2315</v>
      </c>
      <c r="O6" s="65">
        <v>46125</v>
      </c>
      <c r="P6" s="66" t="s">
        <v>882</v>
      </c>
      <c r="Q6" s="67" t="s">
        <v>423</v>
      </c>
      <c r="R6" s="86">
        <v>46139</v>
      </c>
      <c r="S6" s="68" t="str">
        <f ca="1">IFERROR(IF(OR(P6="Contratado",P6="No corresponde atención OGTI",P6="Desistido"),"-",IF('Seguimiento OIT_Backup'!$R6="","-",NETWORKDAYS('Seguimiento OIT_Backup'!$R6,TODAY(),{"02/04/2026";"03/04/2026"}))),"-")</f>
        <v>-</v>
      </c>
      <c r="T6" s="68" t="str">
        <f ca="1">IFERROR(IF(OR(D6="-",D6="",P6="Contratado"),"-",TODAY()-'Seguimiento OIT_Backup'!$D6),"-")</f>
        <v>-</v>
      </c>
      <c r="U6" s="69" t="s">
        <v>77</v>
      </c>
      <c r="V6" s="67" t="s">
        <v>78</v>
      </c>
      <c r="W6" s="62">
        <v>46139</v>
      </c>
      <c r="X6" s="69" t="s">
        <v>79</v>
      </c>
      <c r="Y6" s="63" t="s">
        <v>43</v>
      </c>
      <c r="Z6" s="70" t="s">
        <v>81</v>
      </c>
      <c r="AA6" s="63" t="s">
        <v>43</v>
      </c>
      <c r="AB6" s="61" t="s">
        <v>54</v>
      </c>
      <c r="AC6" s="68" t="str">
        <f t="shared" ca="1" si="0"/>
        <v>Vigente</v>
      </c>
      <c r="AD6" s="71" t="str">
        <f>CONCATENATE('Seguimiento OIT_Backup'!$U6," ",'Seguimiento OIT_Backup'!$V6)</f>
        <v>Orden de Servicio 0002117-2026</v>
      </c>
      <c r="AE6" s="72" t="str">
        <f t="shared" si="1"/>
        <v>DAILY TECHNOLOGY S.A.C</v>
      </c>
      <c r="AF6" s="73">
        <f t="shared" si="2"/>
        <v>46139</v>
      </c>
      <c r="AG6" s="63" t="s">
        <v>75</v>
      </c>
      <c r="AH6" s="74">
        <v>46141</v>
      </c>
      <c r="AI6" s="74">
        <v>46505</v>
      </c>
      <c r="AJ6" s="75" t="str">
        <f>IFERROR(IF(OR(AH6="-",AH6="",AI6="-",AI6=""),"-",CONCATENATE('Seguimiento OIT_Backup'!AI6-'Seguimiento OIT_Backup'!AH6+1," dias")),"-")</f>
        <v>365 dias</v>
      </c>
      <c r="AK6" s="63" t="s">
        <v>80</v>
      </c>
      <c r="AL6" s="35"/>
      <c r="AM6" s="35"/>
    </row>
    <row r="7" spans="1:40" ht="43.9" customHeight="1">
      <c r="A7" s="37" t="s">
        <v>1149</v>
      </c>
      <c r="B7" s="61" t="s">
        <v>45</v>
      </c>
      <c r="C7" s="61" t="s">
        <v>61</v>
      </c>
      <c r="D7" s="62" t="s">
        <v>43</v>
      </c>
      <c r="E7" s="62" t="s">
        <v>43</v>
      </c>
      <c r="F7" s="59" t="s">
        <v>83</v>
      </c>
      <c r="G7" s="76" t="s">
        <v>47</v>
      </c>
      <c r="H7" s="60" t="s">
        <v>85</v>
      </c>
      <c r="I7" s="62" t="s">
        <v>84</v>
      </c>
      <c r="J7" s="62" t="s">
        <v>73</v>
      </c>
      <c r="K7" s="63" t="s">
        <v>74</v>
      </c>
      <c r="L7" s="63" t="s">
        <v>75</v>
      </c>
      <c r="M7" s="63" t="s">
        <v>76</v>
      </c>
      <c r="N7" s="64">
        <v>1490</v>
      </c>
      <c r="O7" s="65">
        <v>46125</v>
      </c>
      <c r="P7" s="66" t="s">
        <v>882</v>
      </c>
      <c r="Q7" s="67" t="s">
        <v>423</v>
      </c>
      <c r="R7" s="86">
        <v>46128</v>
      </c>
      <c r="S7" s="68" t="str">
        <f ca="1">IFERROR(IF(OR(P7="Contratado",P7="No corresponde atención OGTI",P7="Desistido"),"-",IF('Seguimiento OIT_Backup'!$R7="","-",NETWORKDAYS('Seguimiento OIT_Backup'!$R7,TODAY(),{"02/04/2026";"03/04/2026"}))),"-")</f>
        <v>-</v>
      </c>
      <c r="T7" s="68" t="str">
        <f ca="1">IFERROR(IF(OR(D7="-",D7="",P7="Contratado"),"-",TODAY()-'Seguimiento OIT_Backup'!$D7),"-")</f>
        <v>-</v>
      </c>
      <c r="U7" s="69" t="s">
        <v>55</v>
      </c>
      <c r="V7" s="67" t="s">
        <v>86</v>
      </c>
      <c r="W7" s="62">
        <v>46128</v>
      </c>
      <c r="X7" s="69" t="s">
        <v>87</v>
      </c>
      <c r="Y7" s="63" t="s">
        <v>43</v>
      </c>
      <c r="Z7" s="70" t="s">
        <v>89</v>
      </c>
      <c r="AA7" s="63" t="s">
        <v>43</v>
      </c>
      <c r="AB7" s="61" t="s">
        <v>54</v>
      </c>
      <c r="AC7" s="68" t="str">
        <f t="shared" ca="1" si="0"/>
        <v>No aplica</v>
      </c>
      <c r="AD7" s="71" t="str">
        <f>CONCATENATE('Seguimiento OIT_Backup'!$U7," ",'Seguimiento OIT_Backup'!$V7)</f>
        <v>Orden de Compra 0000114-2026</v>
      </c>
      <c r="AE7" s="72" t="str">
        <f t="shared" si="1"/>
        <v>ELECTRONICA MUSICAL SOCIEDAD ANONIMA CERRADA</v>
      </c>
      <c r="AF7" s="73">
        <f t="shared" si="2"/>
        <v>46128</v>
      </c>
      <c r="AG7" s="63" t="s">
        <v>75</v>
      </c>
      <c r="AH7" s="74" t="s">
        <v>43</v>
      </c>
      <c r="AI7" s="74" t="s">
        <v>43</v>
      </c>
      <c r="AJ7" s="75" t="str">
        <f>IFERROR(IF(OR(AH7="-",AH7="",AI7="-",AI7=""),"-",CONCATENATE('Seguimiento OIT_Backup'!AI7-'Seguimiento OIT_Backup'!AH7+1," dias")),"-")</f>
        <v>-</v>
      </c>
      <c r="AK7" s="63" t="s">
        <v>88</v>
      </c>
      <c r="AL7" s="35"/>
      <c r="AM7" s="35"/>
    </row>
    <row r="8" spans="1:40" ht="43.9" customHeight="1">
      <c r="A8" s="37" t="s">
        <v>1150</v>
      </c>
      <c r="B8" s="61" t="s">
        <v>45</v>
      </c>
      <c r="C8" s="61" t="s">
        <v>61</v>
      </c>
      <c r="D8" s="62" t="s">
        <v>43</v>
      </c>
      <c r="E8" s="62" t="s">
        <v>43</v>
      </c>
      <c r="F8" s="60" t="s">
        <v>91</v>
      </c>
      <c r="G8" s="76" t="s">
        <v>47</v>
      </c>
      <c r="H8" s="60" t="s">
        <v>93</v>
      </c>
      <c r="I8" s="62" t="s">
        <v>92</v>
      </c>
      <c r="J8" s="62" t="s">
        <v>73</v>
      </c>
      <c r="K8" s="63" t="s">
        <v>74</v>
      </c>
      <c r="L8" s="63" t="s">
        <v>75</v>
      </c>
      <c r="M8" s="63" t="s">
        <v>94</v>
      </c>
      <c r="N8" s="64">
        <v>23529.29</v>
      </c>
      <c r="O8" s="65">
        <v>46086</v>
      </c>
      <c r="P8" s="66" t="s">
        <v>882</v>
      </c>
      <c r="Q8" s="67" t="s">
        <v>423</v>
      </c>
      <c r="R8" s="86">
        <v>46106</v>
      </c>
      <c r="S8" s="68" t="str">
        <f ca="1">IFERROR(IF(OR(P8="Contratado",P8="No corresponde atención OGTI",P8="Desistido"),"-",IF('Seguimiento OIT_Backup'!$R8="","-",NETWORKDAYS('Seguimiento OIT_Backup'!$R8,TODAY(),{"02/04/2026";"03/04/2026"}))),"-")</f>
        <v>-</v>
      </c>
      <c r="T8" s="68" t="str">
        <f ca="1">IFERROR(IF(OR(D8="-",D8="",P8="Contratado"),"-",TODAY()-'Seguimiento OIT_Backup'!$D8),"-")</f>
        <v>-</v>
      </c>
      <c r="U8" s="69" t="s">
        <v>55</v>
      </c>
      <c r="V8" s="67" t="s">
        <v>95</v>
      </c>
      <c r="W8" s="62">
        <v>46107</v>
      </c>
      <c r="X8" s="69" t="s">
        <v>96</v>
      </c>
      <c r="Y8" s="63" t="s">
        <v>43</v>
      </c>
      <c r="Z8" s="70" t="s">
        <v>98</v>
      </c>
      <c r="AA8" s="63" t="s">
        <v>43</v>
      </c>
      <c r="AB8" s="61" t="s">
        <v>54</v>
      </c>
      <c r="AC8" s="68" t="str">
        <f t="shared" ca="1" si="0"/>
        <v>No aplica</v>
      </c>
      <c r="AD8" s="71" t="str">
        <f>CONCATENATE('Seguimiento OIT_Backup'!$U8," ",'Seguimiento OIT_Backup'!$V8)</f>
        <v>Orden de Compra 0000077-2026</v>
      </c>
      <c r="AE8" s="72" t="str">
        <f t="shared" si="1"/>
        <v>COMPU CENTER BUSSINES S.A.C.</v>
      </c>
      <c r="AF8" s="73">
        <f t="shared" si="2"/>
        <v>46107</v>
      </c>
      <c r="AG8" s="63" t="s">
        <v>74</v>
      </c>
      <c r="AH8" s="74" t="s">
        <v>43</v>
      </c>
      <c r="AI8" s="74" t="s">
        <v>43</v>
      </c>
      <c r="AJ8" s="75" t="str">
        <f>IFERROR(IF(OR(AH8="-",AH8="",AI8="-",AI8=""),"-",CONCATENATE('Seguimiento OIT_Backup'!AI8-'Seguimiento OIT_Backup'!AH8+1," dias")),"-")</f>
        <v>-</v>
      </c>
      <c r="AK8" s="63" t="s">
        <v>97</v>
      </c>
      <c r="AL8" s="35"/>
      <c r="AM8" s="35"/>
    </row>
    <row r="9" spans="1:40" ht="43.9" customHeight="1">
      <c r="A9" s="37" t="s">
        <v>1151</v>
      </c>
      <c r="B9" s="61" t="s">
        <v>45</v>
      </c>
      <c r="C9" s="61" t="s">
        <v>61</v>
      </c>
      <c r="D9" s="62" t="s">
        <v>43</v>
      </c>
      <c r="E9" s="62" t="s">
        <v>43</v>
      </c>
      <c r="F9" s="60" t="s">
        <v>100</v>
      </c>
      <c r="G9" s="76" t="s">
        <v>47</v>
      </c>
      <c r="H9" s="60" t="s">
        <v>93</v>
      </c>
      <c r="I9" s="62" t="s">
        <v>101</v>
      </c>
      <c r="J9" s="62" t="s">
        <v>73</v>
      </c>
      <c r="K9" s="63" t="s">
        <v>74</v>
      </c>
      <c r="L9" s="63" t="s">
        <v>75</v>
      </c>
      <c r="M9" s="63" t="s">
        <v>102</v>
      </c>
      <c r="N9" s="64">
        <v>22956.19</v>
      </c>
      <c r="O9" s="65">
        <v>46064</v>
      </c>
      <c r="P9" s="66" t="s">
        <v>882</v>
      </c>
      <c r="Q9" s="67" t="s">
        <v>423</v>
      </c>
      <c r="R9" s="86">
        <v>46085</v>
      </c>
      <c r="S9" s="68" t="str">
        <f ca="1">IFERROR(IF(OR(P9="Contratado",P9="No corresponde atención OGTI",P9="Desistido"),"-",IF('Seguimiento OIT_Backup'!$R9="","-",NETWORKDAYS('Seguimiento OIT_Backup'!$R9,TODAY(),{"02/04/2026";"03/04/2026"}))),"-")</f>
        <v>-</v>
      </c>
      <c r="T9" s="68" t="str">
        <f ca="1">IFERROR(IF(OR(D9="-",D9="",P9="Contratado"),"-",TODAY()-'Seguimiento OIT_Backup'!$D9),"-")</f>
        <v>-</v>
      </c>
      <c r="U9" s="69" t="s">
        <v>55</v>
      </c>
      <c r="V9" s="67" t="s">
        <v>103</v>
      </c>
      <c r="W9" s="62">
        <v>46083</v>
      </c>
      <c r="X9" s="69" t="s">
        <v>96</v>
      </c>
      <c r="Y9" s="63" t="s">
        <v>43</v>
      </c>
      <c r="Z9" s="70" t="s">
        <v>105</v>
      </c>
      <c r="AA9" s="63" t="s">
        <v>43</v>
      </c>
      <c r="AB9" s="61" t="s">
        <v>54</v>
      </c>
      <c r="AC9" s="68" t="str">
        <f t="shared" ca="1" si="0"/>
        <v>No aplica</v>
      </c>
      <c r="AD9" s="71" t="str">
        <f>CONCATENATE('Seguimiento OIT_Backup'!$U9," ",'Seguimiento OIT_Backup'!$V9)</f>
        <v>Orden de Compra 0000048-2026</v>
      </c>
      <c r="AE9" s="72" t="str">
        <f t="shared" si="1"/>
        <v>COMPU CENTER BUSSINES S.A.C.</v>
      </c>
      <c r="AF9" s="73">
        <f t="shared" si="2"/>
        <v>46083</v>
      </c>
      <c r="AG9" s="63" t="s">
        <v>74</v>
      </c>
      <c r="AH9" s="74" t="s">
        <v>43</v>
      </c>
      <c r="AI9" s="74" t="s">
        <v>43</v>
      </c>
      <c r="AJ9" s="75" t="str">
        <f>IFERROR(IF(OR(AH9="-",AH9="",AI9="-",AI9=""),"-",CONCATENATE('Seguimiento OIT_Backup'!AI9-'Seguimiento OIT_Backup'!AH9+1," dias")),"-")</f>
        <v>-</v>
      </c>
      <c r="AK9" s="63" t="s">
        <v>104</v>
      </c>
      <c r="AL9" s="35"/>
      <c r="AM9" s="35"/>
    </row>
    <row r="10" spans="1:40" ht="43.9" customHeight="1">
      <c r="A10" s="37" t="s">
        <v>1152</v>
      </c>
      <c r="B10" s="61" t="s">
        <v>45</v>
      </c>
      <c r="C10" s="61" t="s">
        <v>61</v>
      </c>
      <c r="D10" s="62" t="s">
        <v>43</v>
      </c>
      <c r="E10" s="62" t="s">
        <v>43</v>
      </c>
      <c r="F10" s="60" t="s">
        <v>107</v>
      </c>
      <c r="G10" s="76" t="s">
        <v>69</v>
      </c>
      <c r="H10" s="60" t="s">
        <v>109</v>
      </c>
      <c r="I10" s="62" t="s">
        <v>108</v>
      </c>
      <c r="J10" s="62" t="s">
        <v>73</v>
      </c>
      <c r="K10" s="63" t="s">
        <v>74</v>
      </c>
      <c r="L10" s="63" t="s">
        <v>75</v>
      </c>
      <c r="M10" s="63" t="s">
        <v>110</v>
      </c>
      <c r="N10" s="64">
        <v>5445.7</v>
      </c>
      <c r="O10" s="65">
        <v>46103</v>
      </c>
      <c r="P10" s="66" t="s">
        <v>882</v>
      </c>
      <c r="Q10" s="67" t="s">
        <v>423</v>
      </c>
      <c r="R10" s="86">
        <v>46126</v>
      </c>
      <c r="S10" s="68" t="str">
        <f ca="1">IFERROR(IF(OR(P10="Contratado",P10="No corresponde atención OGTI",P10="Desistido"),"-",IF('Seguimiento OIT_Backup'!$R10="","-",NETWORKDAYS('Seguimiento OIT_Backup'!$R10,TODAY(),{"02/04/2026";"03/04/2026"}))),"-")</f>
        <v>-</v>
      </c>
      <c r="T10" s="68" t="str">
        <f ca="1">IFERROR(IF(OR(D10="-",D10="",P10="Contratado"),"-",TODAY()-'Seguimiento OIT_Backup'!$D10),"-")</f>
        <v>-</v>
      </c>
      <c r="U10" s="69" t="s">
        <v>77</v>
      </c>
      <c r="V10" s="67" t="s">
        <v>111</v>
      </c>
      <c r="W10" s="62">
        <v>46125</v>
      </c>
      <c r="X10" s="69" t="s">
        <v>112</v>
      </c>
      <c r="Y10" s="63" t="s">
        <v>43</v>
      </c>
      <c r="Z10" s="70" t="s">
        <v>114</v>
      </c>
      <c r="AA10" s="63" t="s">
        <v>43</v>
      </c>
      <c r="AB10" s="61" t="s">
        <v>54</v>
      </c>
      <c r="AC10" s="68" t="str">
        <f t="shared" ca="1" si="0"/>
        <v>Vigente</v>
      </c>
      <c r="AD10" s="71" t="str">
        <f>CONCATENATE('Seguimiento OIT_Backup'!$U10," ",'Seguimiento OIT_Backup'!$V10)</f>
        <v>Orden de Servicio 0001928-2026</v>
      </c>
      <c r="AE10" s="72" t="str">
        <f t="shared" si="1"/>
        <v>GRUPO VENTURA PERU S.A.C.</v>
      </c>
      <c r="AF10" s="73">
        <f t="shared" si="2"/>
        <v>46125</v>
      </c>
      <c r="AG10" s="63" t="s">
        <v>74</v>
      </c>
      <c r="AH10" s="74">
        <v>46147</v>
      </c>
      <c r="AI10" s="74">
        <v>46330</v>
      </c>
      <c r="AJ10" s="75" t="str">
        <f>IFERROR(IF(OR(AH10="-",AH10="",AI10="-",AI10=""),"-",CONCATENATE('Seguimiento OIT_Backup'!AI10-'Seguimiento OIT_Backup'!AH10+1," dias")),"-")</f>
        <v>184 dias</v>
      </c>
      <c r="AK10" s="63" t="s">
        <v>113</v>
      </c>
      <c r="AL10" s="35"/>
      <c r="AM10" s="35"/>
    </row>
    <row r="11" spans="1:40" ht="43.9" customHeight="1">
      <c r="A11" s="37" t="s">
        <v>1153</v>
      </c>
      <c r="B11" s="61" t="s">
        <v>45</v>
      </c>
      <c r="C11" s="61" t="s">
        <v>46</v>
      </c>
      <c r="D11" s="62">
        <v>46087</v>
      </c>
      <c r="E11" s="62" t="s">
        <v>1154</v>
      </c>
      <c r="F11" s="60" t="s">
        <v>116</v>
      </c>
      <c r="G11" s="76" t="s">
        <v>69</v>
      </c>
      <c r="H11" s="60" t="s">
        <v>118</v>
      </c>
      <c r="I11" s="62" t="s">
        <v>117</v>
      </c>
      <c r="J11" s="62" t="s">
        <v>370</v>
      </c>
      <c r="K11" s="63" t="s">
        <v>120</v>
      </c>
      <c r="L11" s="63" t="s">
        <v>75</v>
      </c>
      <c r="M11" s="63" t="s">
        <v>121</v>
      </c>
      <c r="N11" s="64">
        <v>43764.05</v>
      </c>
      <c r="O11" s="65">
        <v>46073</v>
      </c>
      <c r="P11" s="66" t="s">
        <v>882</v>
      </c>
      <c r="Q11" s="67" t="s">
        <v>423</v>
      </c>
      <c r="R11" s="86">
        <v>46099</v>
      </c>
      <c r="S11" s="68" t="str">
        <f ca="1">IFERROR(IF(OR(P11="Contratado",P11="No corresponde atención OGTI",P11="Desistido"),"-",IF('Seguimiento OIT_Backup'!$R11="","-",NETWORKDAYS('Seguimiento OIT_Backup'!$R11,TODAY(),{"02/04/2026";"03/04/2026"}))),"-")</f>
        <v>-</v>
      </c>
      <c r="T11" s="68" t="str">
        <f ca="1">IFERROR(IF(OR(D11="-",D11="",P11="Contratado"),"-",TODAY()-'Seguimiento OIT_Backup'!$D11),"-")</f>
        <v>-</v>
      </c>
      <c r="U11" s="69" t="s">
        <v>77</v>
      </c>
      <c r="V11" s="67" t="s">
        <v>122</v>
      </c>
      <c r="W11" s="62">
        <v>46099</v>
      </c>
      <c r="X11" s="69" t="s">
        <v>123</v>
      </c>
      <c r="Y11" s="63" t="s">
        <v>43</v>
      </c>
      <c r="Z11" s="70" t="s">
        <v>125</v>
      </c>
      <c r="AA11" s="63" t="s">
        <v>43</v>
      </c>
      <c r="AB11" s="61" t="s">
        <v>54</v>
      </c>
      <c r="AC11" s="68" t="str">
        <f t="shared" ca="1" si="0"/>
        <v>Vigente</v>
      </c>
      <c r="AD11" s="71" t="str">
        <f>CONCATENATE('Seguimiento OIT_Backup'!$U11," ",'Seguimiento OIT_Backup'!$V11)</f>
        <v>Orden de Servicio 0001422-2026</v>
      </c>
      <c r="AE11" s="72" t="str">
        <f t="shared" si="1"/>
        <v>SEIDOR TECHNOLOGIES PERU S.A.C.</v>
      </c>
      <c r="AF11" s="73">
        <f t="shared" si="2"/>
        <v>46099</v>
      </c>
      <c r="AG11" s="63" t="s">
        <v>120</v>
      </c>
      <c r="AH11" s="74">
        <v>46104</v>
      </c>
      <c r="AI11" s="74">
        <v>46468</v>
      </c>
      <c r="AJ11" s="75" t="str">
        <f>IFERROR(IF(OR(AH11="-",AH11="",AI11="-",AI11=""),"-",CONCATENATE('Seguimiento OIT_Backup'!AI11-'Seguimiento OIT_Backup'!AH11+1," dias")),"-")</f>
        <v>365 dias</v>
      </c>
      <c r="AK11" s="63" t="s">
        <v>124</v>
      </c>
      <c r="AL11" s="35"/>
      <c r="AM11" s="35"/>
    </row>
    <row r="12" spans="1:40" ht="43.9" customHeight="1">
      <c r="A12" s="37" t="s">
        <v>1155</v>
      </c>
      <c r="B12" s="61" t="s">
        <v>45</v>
      </c>
      <c r="C12" s="61" t="s">
        <v>61</v>
      </c>
      <c r="D12" s="62" t="s">
        <v>43</v>
      </c>
      <c r="E12" s="62" t="s">
        <v>43</v>
      </c>
      <c r="F12" s="59" t="s">
        <v>971</v>
      </c>
      <c r="G12" s="76" t="s">
        <v>69</v>
      </c>
      <c r="H12" s="60" t="s">
        <v>129</v>
      </c>
      <c r="I12" s="62" t="s">
        <v>128</v>
      </c>
      <c r="J12" s="62" t="s">
        <v>370</v>
      </c>
      <c r="K12" s="63" t="s">
        <v>120</v>
      </c>
      <c r="L12" s="63" t="s">
        <v>75</v>
      </c>
      <c r="M12" s="63" t="s">
        <v>130</v>
      </c>
      <c r="N12" s="64">
        <v>1899.16</v>
      </c>
      <c r="O12" s="65">
        <v>46073</v>
      </c>
      <c r="P12" s="66" t="s">
        <v>882</v>
      </c>
      <c r="Q12" s="67" t="s">
        <v>423</v>
      </c>
      <c r="R12" s="86">
        <v>46105</v>
      </c>
      <c r="S12" s="68" t="str">
        <f ca="1">IFERROR(IF(OR(P12="Contratado",P12="No corresponde atención OGTI",P12="Desistido"),"-",IF('Seguimiento OIT_Backup'!$R12="","-",NETWORKDAYS('Seguimiento OIT_Backup'!$R12,TODAY(),{"02/04/2026";"03/04/2026"}))),"-")</f>
        <v>-</v>
      </c>
      <c r="T12" s="68" t="str">
        <f ca="1">IFERROR(IF(OR(D12="-",D12="",P12="Contratado"),"-",TODAY()-'Seguimiento OIT_Backup'!$D12),"-")</f>
        <v>-</v>
      </c>
      <c r="U12" s="69" t="s">
        <v>77</v>
      </c>
      <c r="V12" s="67" t="s">
        <v>131</v>
      </c>
      <c r="W12" s="62">
        <v>46101</v>
      </c>
      <c r="X12" s="69" t="s">
        <v>123</v>
      </c>
      <c r="Y12" s="63" t="s">
        <v>43</v>
      </c>
      <c r="Z12" s="70" t="s">
        <v>125</v>
      </c>
      <c r="AA12" s="63" t="s">
        <v>43</v>
      </c>
      <c r="AB12" s="61" t="s">
        <v>54</v>
      </c>
      <c r="AC12" s="68" t="str">
        <f t="shared" ca="1" si="0"/>
        <v>Vigente</v>
      </c>
      <c r="AD12" s="71" t="str">
        <f>CONCATENATE('Seguimiento OIT_Backup'!$U12," ",'Seguimiento OIT_Backup'!$V12)</f>
        <v>Orden de Servicio 0001453-2026</v>
      </c>
      <c r="AE12" s="72" t="str">
        <f t="shared" si="1"/>
        <v>SEIDOR TECHNOLOGIES PERU S.A.C.</v>
      </c>
      <c r="AF12" s="73">
        <f t="shared" si="2"/>
        <v>46101</v>
      </c>
      <c r="AG12" s="63" t="s">
        <v>120</v>
      </c>
      <c r="AH12" s="74">
        <v>46106</v>
      </c>
      <c r="AI12" s="74">
        <v>46470</v>
      </c>
      <c r="AJ12" s="75" t="str">
        <f>IFERROR(IF(OR(AH12="-",AH12="",AI12="-",AI12=""),"-",CONCATENATE('Seguimiento OIT_Backup'!AI12-'Seguimiento OIT_Backup'!AH12+1," dias")),"-")</f>
        <v>365 dias</v>
      </c>
      <c r="AK12" s="63" t="s">
        <v>132</v>
      </c>
      <c r="AL12" s="35"/>
      <c r="AM12" s="35"/>
    </row>
    <row r="13" spans="1:40" ht="43.9" customHeight="1">
      <c r="A13" s="37" t="s">
        <v>1156</v>
      </c>
      <c r="B13" s="61" t="s">
        <v>45</v>
      </c>
      <c r="C13" s="61" t="s">
        <v>61</v>
      </c>
      <c r="D13" s="62" t="s">
        <v>43</v>
      </c>
      <c r="E13" s="62" t="s">
        <v>43</v>
      </c>
      <c r="F13" s="60" t="s">
        <v>134</v>
      </c>
      <c r="G13" s="76" t="s">
        <v>47</v>
      </c>
      <c r="H13" s="60" t="s">
        <v>136</v>
      </c>
      <c r="I13" s="62" t="s">
        <v>135</v>
      </c>
      <c r="J13" s="62" t="s">
        <v>73</v>
      </c>
      <c r="K13" s="63" t="s">
        <v>74</v>
      </c>
      <c r="L13" s="63" t="s">
        <v>75</v>
      </c>
      <c r="M13" s="63" t="s">
        <v>137</v>
      </c>
      <c r="N13" s="64">
        <v>33330.5</v>
      </c>
      <c r="O13" s="65">
        <v>46133</v>
      </c>
      <c r="P13" s="66" t="s">
        <v>882</v>
      </c>
      <c r="Q13" s="67" t="s">
        <v>423</v>
      </c>
      <c r="R13" s="86">
        <v>46167</v>
      </c>
      <c r="S13" s="68" t="str">
        <f ca="1">IFERROR(IF(OR(P13="Contratado",P13="No corresponde atención OGTI",P13="Desistido"),"-",IF('Seguimiento OIT_Backup'!$R13="","-",NETWORKDAYS('Seguimiento OIT_Backup'!$R13,TODAY(),{"02/04/2026";"03/04/2026"}))),"-")</f>
        <v>-</v>
      </c>
      <c r="T13" s="68" t="str">
        <f ca="1">IFERROR(IF(OR(D13="-",D13="",P13="Contratado"),"-",TODAY()-'Seguimiento OIT_Backup'!$D13),"-")</f>
        <v>-</v>
      </c>
      <c r="U13" s="69" t="s">
        <v>55</v>
      </c>
      <c r="V13" s="67" t="s">
        <v>138</v>
      </c>
      <c r="W13" s="62">
        <v>46167</v>
      </c>
      <c r="X13" s="69" t="s">
        <v>139</v>
      </c>
      <c r="Y13" s="63" t="s">
        <v>43</v>
      </c>
      <c r="Z13" s="70" t="s">
        <v>141</v>
      </c>
      <c r="AA13" s="63" t="s">
        <v>43</v>
      </c>
      <c r="AB13" s="61" t="s">
        <v>54</v>
      </c>
      <c r="AC13" s="68" t="str">
        <f t="shared" ca="1" si="0"/>
        <v>No aplica</v>
      </c>
      <c r="AD13" s="71" t="str">
        <f>CONCATENATE('Seguimiento OIT_Backup'!$U13," ",'Seguimiento OIT_Backup'!$V13)</f>
        <v>Orden de Compra 0000164-2026</v>
      </c>
      <c r="AE13" s="72" t="str">
        <f t="shared" si="1"/>
        <v>CUY TECHNOLOGIES E.I.R.L.</v>
      </c>
      <c r="AF13" s="73">
        <f t="shared" si="2"/>
        <v>46167</v>
      </c>
      <c r="AG13" s="63" t="s">
        <v>74</v>
      </c>
      <c r="AH13" s="74" t="s">
        <v>43</v>
      </c>
      <c r="AI13" s="74" t="s">
        <v>43</v>
      </c>
      <c r="AJ13" s="75" t="str">
        <f>IFERROR(IF(OR(AH13="-",AH13="",AI13="-",AI13=""),"-",CONCATENATE('Seguimiento OIT_Backup'!AI13-'Seguimiento OIT_Backup'!AH13+1," dias")),"-")</f>
        <v>-</v>
      </c>
      <c r="AK13" s="63" t="s">
        <v>140</v>
      </c>
      <c r="AL13" s="35"/>
      <c r="AM13" s="35"/>
    </row>
    <row r="14" spans="1:40" ht="43.9" customHeight="1">
      <c r="A14" s="37" t="s">
        <v>1157</v>
      </c>
      <c r="B14" s="61" t="s">
        <v>45</v>
      </c>
      <c r="C14" s="61" t="s">
        <v>61</v>
      </c>
      <c r="D14" s="62" t="s">
        <v>43</v>
      </c>
      <c r="E14" s="62" t="s">
        <v>43</v>
      </c>
      <c r="F14" s="60" t="s">
        <v>972</v>
      </c>
      <c r="G14" s="76" t="s">
        <v>47</v>
      </c>
      <c r="H14" s="60" t="s">
        <v>145</v>
      </c>
      <c r="I14" s="62" t="s">
        <v>144</v>
      </c>
      <c r="J14" s="62" t="s">
        <v>73</v>
      </c>
      <c r="K14" s="63" t="s">
        <v>74</v>
      </c>
      <c r="L14" s="63" t="s">
        <v>75</v>
      </c>
      <c r="M14" s="63" t="s">
        <v>137</v>
      </c>
      <c r="N14" s="64">
        <v>33211.050000000003</v>
      </c>
      <c r="O14" s="65">
        <v>46090</v>
      </c>
      <c r="P14" s="66" t="s">
        <v>882</v>
      </c>
      <c r="Q14" s="67" t="s">
        <v>423</v>
      </c>
      <c r="R14" s="86">
        <v>46141</v>
      </c>
      <c r="S14" s="68" t="str">
        <f ca="1">IFERROR(IF(OR(P14="Contratado",P14="No corresponde atención OGTI",P14="Desistido"),"-",IF('Seguimiento OIT_Backup'!$R14="","-",NETWORKDAYS('Seguimiento OIT_Backup'!$R14,TODAY(),{"02/04/2026";"03/04/2026"}))),"-")</f>
        <v>-</v>
      </c>
      <c r="T14" s="68" t="str">
        <f ca="1">IFERROR(IF(OR(D14="-",D14="",P14="Contratado"),"-",TODAY()-'Seguimiento OIT_Backup'!$D14),"-")</f>
        <v>-</v>
      </c>
      <c r="U14" s="69" t="s">
        <v>55</v>
      </c>
      <c r="V14" s="67" t="s">
        <v>146</v>
      </c>
      <c r="W14" s="62">
        <v>46148</v>
      </c>
      <c r="X14" s="69" t="s">
        <v>147</v>
      </c>
      <c r="Y14" s="63" t="s">
        <v>43</v>
      </c>
      <c r="Z14" s="70" t="s">
        <v>149</v>
      </c>
      <c r="AA14" s="63" t="s">
        <v>43</v>
      </c>
      <c r="AB14" s="61" t="s">
        <v>54</v>
      </c>
      <c r="AC14" s="68" t="str">
        <f t="shared" ca="1" si="0"/>
        <v>No aplica</v>
      </c>
      <c r="AD14" s="71" t="str">
        <f>CONCATENATE('Seguimiento OIT_Backup'!$U14," ",'Seguimiento OIT_Backup'!$V14)</f>
        <v>Orden de Compra 0000143-2026</v>
      </c>
      <c r="AE14" s="72" t="str">
        <f t="shared" si="1"/>
        <v>COMPU-SISTEMAS DEL PERU SAC</v>
      </c>
      <c r="AF14" s="73">
        <f t="shared" si="2"/>
        <v>46148</v>
      </c>
      <c r="AG14" s="63" t="s">
        <v>74</v>
      </c>
      <c r="AH14" s="74" t="s">
        <v>43</v>
      </c>
      <c r="AI14" s="74" t="s">
        <v>43</v>
      </c>
      <c r="AJ14" s="75" t="str">
        <f>IFERROR(IF(OR(AH14="-",AH14="",AI14="-",AI14=""),"-",CONCATENATE('Seguimiento OIT_Backup'!AI14-'Seguimiento OIT_Backup'!AH14+1," dias")),"-")</f>
        <v>-</v>
      </c>
      <c r="AK14" s="63" t="s">
        <v>148</v>
      </c>
      <c r="AL14" s="35"/>
      <c r="AM14" s="35"/>
    </row>
    <row r="15" spans="1:40" ht="43.9" customHeight="1">
      <c r="A15" s="37" t="s">
        <v>1158</v>
      </c>
      <c r="B15" s="61" t="s">
        <v>45</v>
      </c>
      <c r="C15" s="61" t="s">
        <v>46</v>
      </c>
      <c r="D15" s="62" t="s">
        <v>43</v>
      </c>
      <c r="E15" s="62" t="s">
        <v>43</v>
      </c>
      <c r="F15" s="60" t="s">
        <v>151</v>
      </c>
      <c r="G15" s="76" t="s">
        <v>69</v>
      </c>
      <c r="H15" s="60" t="s">
        <v>153</v>
      </c>
      <c r="I15" s="62" t="s">
        <v>152</v>
      </c>
      <c r="J15" s="62" t="s">
        <v>119</v>
      </c>
      <c r="K15" s="63" t="s">
        <v>120</v>
      </c>
      <c r="L15" s="63" t="s">
        <v>75</v>
      </c>
      <c r="M15" s="63" t="s">
        <v>154</v>
      </c>
      <c r="N15" s="64">
        <v>13650</v>
      </c>
      <c r="O15" s="65">
        <v>46153</v>
      </c>
      <c r="P15" s="66" t="s">
        <v>882</v>
      </c>
      <c r="Q15" s="67" t="s">
        <v>423</v>
      </c>
      <c r="R15" s="86">
        <v>46176</v>
      </c>
      <c r="S15" s="68" t="str">
        <f ca="1">IFERROR(IF(OR(P15="Contratado",P15="No corresponde atención OGTI",P15="Desistido"),"-",IF('Seguimiento OIT_Backup'!$R15="","-",NETWORKDAYS('Seguimiento OIT_Backup'!$R15,TODAY(),{"02/04/2026";"03/04/2026"}))),"-")</f>
        <v>-</v>
      </c>
      <c r="T15" s="68" t="str">
        <f ca="1">IFERROR(IF(OR(D15="-",D15="",P15="Contratado"),"-",TODAY()-'Seguimiento OIT_Backup'!$D15),"-")</f>
        <v>-</v>
      </c>
      <c r="U15" s="69" t="s">
        <v>77</v>
      </c>
      <c r="V15" s="67" t="s">
        <v>155</v>
      </c>
      <c r="W15" s="62">
        <v>46163</v>
      </c>
      <c r="X15" s="69" t="s">
        <v>156</v>
      </c>
      <c r="Y15" s="63" t="s">
        <v>43</v>
      </c>
      <c r="Z15" s="70" t="s">
        <v>158</v>
      </c>
      <c r="AA15" s="63" t="s">
        <v>43</v>
      </c>
      <c r="AB15" s="61" t="s">
        <v>54</v>
      </c>
      <c r="AC15" s="68" t="str">
        <f t="shared" ca="1" si="0"/>
        <v>Vigente</v>
      </c>
      <c r="AD15" s="71" t="str">
        <f>CONCATENATE('Seguimiento OIT_Backup'!$U15," ",'Seguimiento OIT_Backup'!$V15)</f>
        <v>Orden de Servicio 0002637-2026</v>
      </c>
      <c r="AE15" s="72" t="str">
        <f t="shared" si="1"/>
        <v>ARGACORP S.A.C.</v>
      </c>
      <c r="AF15" s="73">
        <f t="shared" si="2"/>
        <v>46163</v>
      </c>
      <c r="AG15" s="63" t="s">
        <v>120</v>
      </c>
      <c r="AH15" s="74">
        <v>46167</v>
      </c>
      <c r="AI15" s="74">
        <v>46531</v>
      </c>
      <c r="AJ15" s="75" t="str">
        <f>IFERROR(IF(OR(AH15="-",AH15="",AI15="-",AI15=""),"-",CONCATENATE('Seguimiento OIT_Backup'!AI15-'Seguimiento OIT_Backup'!AH15+1," dias")),"-")</f>
        <v>365 dias</v>
      </c>
      <c r="AK15" s="63" t="s">
        <v>157</v>
      </c>
      <c r="AL15" s="35"/>
      <c r="AM15" s="35"/>
    </row>
    <row r="16" spans="1:40" ht="43.9" customHeight="1">
      <c r="A16" s="37" t="s">
        <v>1159</v>
      </c>
      <c r="B16" s="61" t="s">
        <v>45</v>
      </c>
      <c r="C16" s="61" t="s">
        <v>61</v>
      </c>
      <c r="D16" s="62" t="s">
        <v>43</v>
      </c>
      <c r="E16" s="62" t="s">
        <v>43</v>
      </c>
      <c r="F16" s="60" t="s">
        <v>160</v>
      </c>
      <c r="G16" s="76" t="s">
        <v>47</v>
      </c>
      <c r="H16" s="60" t="s">
        <v>162</v>
      </c>
      <c r="I16" s="62" t="s">
        <v>161</v>
      </c>
      <c r="J16" s="62" t="s">
        <v>73</v>
      </c>
      <c r="K16" s="63" t="s">
        <v>74</v>
      </c>
      <c r="L16" s="63" t="s">
        <v>75</v>
      </c>
      <c r="M16" s="63" t="s">
        <v>110</v>
      </c>
      <c r="N16" s="64">
        <v>660</v>
      </c>
      <c r="O16" s="65">
        <v>46164</v>
      </c>
      <c r="P16" s="66" t="s">
        <v>882</v>
      </c>
      <c r="Q16" s="67" t="s">
        <v>423</v>
      </c>
      <c r="R16" s="86">
        <v>46176</v>
      </c>
      <c r="S16" s="68" t="str">
        <f ca="1">IFERROR(IF(OR(P16="Contratado",P16="No corresponde atención OGTI",P16="Desistido"),"-",IF('Seguimiento OIT_Backup'!$R16="","-",NETWORKDAYS('Seguimiento OIT_Backup'!$R16,TODAY(),{"02/04/2026";"03/04/2026"}))),"-")</f>
        <v>-</v>
      </c>
      <c r="T16" s="68" t="str">
        <f ca="1">IFERROR(IF(OR(D16="-",D16="",P16="Contratado"),"-",TODAY()-'Seguimiento OIT_Backup'!$D16),"-")</f>
        <v>-</v>
      </c>
      <c r="U16" s="69" t="s">
        <v>55</v>
      </c>
      <c r="V16" s="67" t="s">
        <v>163</v>
      </c>
      <c r="W16" s="62">
        <v>46176</v>
      </c>
      <c r="X16" s="69" t="s">
        <v>139</v>
      </c>
      <c r="Y16" s="63" t="s">
        <v>43</v>
      </c>
      <c r="Z16" s="70" t="s">
        <v>165</v>
      </c>
      <c r="AA16" s="63" t="s">
        <v>43</v>
      </c>
      <c r="AB16" s="61" t="s">
        <v>54</v>
      </c>
      <c r="AC16" s="68" t="str">
        <f t="shared" ca="1" si="0"/>
        <v>No aplica</v>
      </c>
      <c r="AD16" s="71" t="str">
        <f>CONCATENATE('Seguimiento OIT_Backup'!$U16," ",'Seguimiento OIT_Backup'!$V16)</f>
        <v>Orden de Compra 0000182-2026</v>
      </c>
      <c r="AE16" s="72" t="str">
        <f t="shared" si="1"/>
        <v>CUY TECHNOLOGIES E.I.R.L.</v>
      </c>
      <c r="AF16" s="73">
        <f t="shared" si="2"/>
        <v>46176</v>
      </c>
      <c r="AG16" s="63" t="s">
        <v>74</v>
      </c>
      <c r="AH16" s="74" t="s">
        <v>43</v>
      </c>
      <c r="AI16" s="74" t="s">
        <v>43</v>
      </c>
      <c r="AJ16" s="75" t="str">
        <f>IFERROR(IF(OR(AH16="-",AH16="",AI16="-",AI16=""),"-",CONCATENATE('Seguimiento OIT_Backup'!AI16-'Seguimiento OIT_Backup'!AH16+1," dias")),"-")</f>
        <v>-</v>
      </c>
      <c r="AK16" s="63" t="s">
        <v>164</v>
      </c>
      <c r="AL16" s="35"/>
      <c r="AM16" s="35"/>
    </row>
    <row r="17" spans="1:39" ht="43.9" customHeight="1">
      <c r="A17" s="37" t="s">
        <v>1160</v>
      </c>
      <c r="B17" s="61" t="s">
        <v>45</v>
      </c>
      <c r="C17" s="61" t="s">
        <v>61</v>
      </c>
      <c r="D17" s="62" t="s">
        <v>43</v>
      </c>
      <c r="E17" s="62" t="s">
        <v>43</v>
      </c>
      <c r="F17" s="60" t="s">
        <v>167</v>
      </c>
      <c r="G17" s="76" t="s">
        <v>47</v>
      </c>
      <c r="H17" s="60" t="s">
        <v>169</v>
      </c>
      <c r="I17" s="62" t="s">
        <v>168</v>
      </c>
      <c r="J17" s="62" t="s">
        <v>73</v>
      </c>
      <c r="K17" s="63" t="s">
        <v>74</v>
      </c>
      <c r="L17" s="63" t="s">
        <v>75</v>
      </c>
      <c r="M17" s="63" t="s">
        <v>170</v>
      </c>
      <c r="N17" s="64">
        <v>330</v>
      </c>
      <c r="O17" s="65">
        <v>46164</v>
      </c>
      <c r="P17" s="66" t="s">
        <v>882</v>
      </c>
      <c r="Q17" s="67" t="s">
        <v>423</v>
      </c>
      <c r="R17" s="86">
        <v>46176</v>
      </c>
      <c r="S17" s="68" t="str">
        <f ca="1">IFERROR(IF(OR(P17="Contratado",P17="No corresponde atención OGTI",P17="Desistido"),"-",IF('Seguimiento OIT_Backup'!$R17="","-",NETWORKDAYS('Seguimiento OIT_Backup'!$R17,TODAY(),{"02/04/2026";"03/04/2026"}))),"-")</f>
        <v>-</v>
      </c>
      <c r="T17" s="68" t="str">
        <f ca="1">IFERROR(IF(OR(D17="-",D17="",P17="Contratado"),"-",TODAY()-'Seguimiento OIT_Backup'!$D17),"-")</f>
        <v>-</v>
      </c>
      <c r="U17" s="69" t="s">
        <v>55</v>
      </c>
      <c r="V17" s="67" t="s">
        <v>163</v>
      </c>
      <c r="W17" s="62">
        <v>46176</v>
      </c>
      <c r="X17" s="69" t="s">
        <v>139</v>
      </c>
      <c r="Y17" s="63" t="s">
        <v>43</v>
      </c>
      <c r="Z17" s="70" t="s">
        <v>171</v>
      </c>
      <c r="AA17" s="63" t="s">
        <v>43</v>
      </c>
      <c r="AB17" s="61" t="s">
        <v>54</v>
      </c>
      <c r="AC17" s="68" t="str">
        <f t="shared" ca="1" si="0"/>
        <v>No aplica</v>
      </c>
      <c r="AD17" s="71" t="str">
        <f>CONCATENATE('Seguimiento OIT_Backup'!$U17," ",'Seguimiento OIT_Backup'!$V17)</f>
        <v>Orden de Compra 0000182-2026</v>
      </c>
      <c r="AE17" s="72" t="str">
        <f t="shared" si="1"/>
        <v>CUY TECHNOLOGIES E.I.R.L.</v>
      </c>
      <c r="AF17" s="73">
        <f t="shared" si="2"/>
        <v>46176</v>
      </c>
      <c r="AG17" s="63" t="s">
        <v>74</v>
      </c>
      <c r="AH17" s="74" t="s">
        <v>43</v>
      </c>
      <c r="AI17" s="74" t="s">
        <v>43</v>
      </c>
      <c r="AJ17" s="75" t="str">
        <f>IFERROR(IF(OR(AH17="-",AH17="",AI17="-",AI17=""),"-",CONCATENATE('Seguimiento OIT_Backup'!AI17-'Seguimiento OIT_Backup'!AH17+1," dias")),"-")</f>
        <v>-</v>
      </c>
      <c r="AK17" s="63" t="s">
        <v>164</v>
      </c>
      <c r="AL17" s="35"/>
      <c r="AM17" s="35"/>
    </row>
    <row r="18" spans="1:39" ht="43.9" customHeight="1">
      <c r="A18" s="37" t="s">
        <v>1161</v>
      </c>
      <c r="B18" s="61" t="s">
        <v>45</v>
      </c>
      <c r="C18" s="61" t="s">
        <v>61</v>
      </c>
      <c r="D18" s="62" t="s">
        <v>43</v>
      </c>
      <c r="E18" s="62" t="s">
        <v>43</v>
      </c>
      <c r="F18" s="60" t="s">
        <v>173</v>
      </c>
      <c r="G18" s="76" t="s">
        <v>47</v>
      </c>
      <c r="H18" s="60" t="s">
        <v>175</v>
      </c>
      <c r="I18" s="62" t="s">
        <v>174</v>
      </c>
      <c r="J18" s="62" t="s">
        <v>73</v>
      </c>
      <c r="K18" s="63" t="s">
        <v>74</v>
      </c>
      <c r="L18" s="63" t="s">
        <v>75</v>
      </c>
      <c r="M18" s="63" t="s">
        <v>170</v>
      </c>
      <c r="N18" s="64">
        <v>1610</v>
      </c>
      <c r="O18" s="65">
        <v>46164</v>
      </c>
      <c r="P18" s="66" t="s">
        <v>882</v>
      </c>
      <c r="Q18" s="67" t="s">
        <v>423</v>
      </c>
      <c r="R18" s="86">
        <v>46176</v>
      </c>
      <c r="S18" s="68" t="str">
        <f ca="1">IFERROR(IF(OR(P18="Contratado",P18="No corresponde atención OGTI",P18="Desistido"),"-",IF('Seguimiento OIT_Backup'!$R18="","-",NETWORKDAYS('Seguimiento OIT_Backup'!$R18,TODAY(),{"02/04/2026";"03/04/2026"}))),"-")</f>
        <v>-</v>
      </c>
      <c r="T18" s="68" t="str">
        <f ca="1">IFERROR(IF(OR(D18="-",D18="",P18="Contratado"),"-",TODAY()-'Seguimiento OIT_Backup'!$D18),"-")</f>
        <v>-</v>
      </c>
      <c r="U18" s="69" t="s">
        <v>55</v>
      </c>
      <c r="V18" s="67" t="s">
        <v>163</v>
      </c>
      <c r="W18" s="62">
        <v>46176</v>
      </c>
      <c r="X18" s="69" t="s">
        <v>139</v>
      </c>
      <c r="Y18" s="63" t="s">
        <v>43</v>
      </c>
      <c r="Z18" s="70" t="s">
        <v>176</v>
      </c>
      <c r="AA18" s="63" t="s">
        <v>43</v>
      </c>
      <c r="AB18" s="61" t="s">
        <v>54</v>
      </c>
      <c r="AC18" s="68" t="str">
        <f t="shared" ca="1" si="0"/>
        <v>No aplica</v>
      </c>
      <c r="AD18" s="71" t="str">
        <f>CONCATENATE('Seguimiento OIT_Backup'!$U18," ",'Seguimiento OIT_Backup'!$V18)</f>
        <v>Orden de Compra 0000182-2026</v>
      </c>
      <c r="AE18" s="72" t="str">
        <f t="shared" si="1"/>
        <v>CUY TECHNOLOGIES E.I.R.L.</v>
      </c>
      <c r="AF18" s="73">
        <f t="shared" si="2"/>
        <v>46176</v>
      </c>
      <c r="AG18" s="63" t="s">
        <v>74</v>
      </c>
      <c r="AH18" s="74" t="s">
        <v>43</v>
      </c>
      <c r="AI18" s="74" t="s">
        <v>43</v>
      </c>
      <c r="AJ18" s="75" t="str">
        <f>IFERROR(IF(OR(AH18="-",AH18="",AI18="-",AI18=""),"-",CONCATENATE('Seguimiento OIT_Backup'!AI18-'Seguimiento OIT_Backup'!AH18+1," dias")),"-")</f>
        <v>-</v>
      </c>
      <c r="AK18" s="63" t="s">
        <v>164</v>
      </c>
      <c r="AL18" s="35"/>
      <c r="AM18" s="35"/>
    </row>
    <row r="19" spans="1:39" ht="43.9" customHeight="1">
      <c r="A19" s="37" t="s">
        <v>1162</v>
      </c>
      <c r="B19" s="61" t="s">
        <v>45</v>
      </c>
      <c r="C19" s="61" t="s">
        <v>46</v>
      </c>
      <c r="D19" s="62">
        <v>46162</v>
      </c>
      <c r="E19" s="62" t="s">
        <v>1163</v>
      </c>
      <c r="F19" s="60" t="s">
        <v>178</v>
      </c>
      <c r="G19" s="76" t="s">
        <v>69</v>
      </c>
      <c r="H19" s="60" t="s">
        <v>180</v>
      </c>
      <c r="I19" s="62" t="s">
        <v>179</v>
      </c>
      <c r="J19" s="62" t="s">
        <v>370</v>
      </c>
      <c r="K19" s="63" t="s">
        <v>120</v>
      </c>
      <c r="L19" s="63" t="s">
        <v>75</v>
      </c>
      <c r="M19" s="63" t="s">
        <v>121</v>
      </c>
      <c r="N19" s="64">
        <v>43165</v>
      </c>
      <c r="O19" s="62">
        <v>46122</v>
      </c>
      <c r="P19" s="66" t="s">
        <v>882</v>
      </c>
      <c r="Q19" s="67" t="s">
        <v>423</v>
      </c>
      <c r="R19" s="86">
        <v>46147</v>
      </c>
      <c r="S19" s="68" t="str">
        <f ca="1">IFERROR(IF(OR(P19="Contratado",P19="No corresponde atención OGTI",P19="Desistido"),"-",IF('Seguimiento OIT_Backup'!$R19="","-",NETWORKDAYS('Seguimiento OIT_Backup'!$R19,TODAY(),{"02/04/2026";"03/04/2026"}))),"-")</f>
        <v>-</v>
      </c>
      <c r="T19" s="68" t="str">
        <f ca="1">IFERROR(IF(OR(D19="-",D19="",P19="Contratado"),"-",TODAY()-'Seguimiento OIT_Backup'!$D19),"-")</f>
        <v>-</v>
      </c>
      <c r="U19" s="69" t="s">
        <v>77</v>
      </c>
      <c r="V19" s="67" t="s">
        <v>181</v>
      </c>
      <c r="W19" s="62">
        <v>46147</v>
      </c>
      <c r="X19" s="69" t="s">
        <v>79</v>
      </c>
      <c r="Y19" s="63" t="s">
        <v>43</v>
      </c>
      <c r="Z19" s="70" t="s">
        <v>183</v>
      </c>
      <c r="AA19" s="63" t="s">
        <v>43</v>
      </c>
      <c r="AB19" s="61" t="s">
        <v>54</v>
      </c>
      <c r="AC19" s="68" t="str">
        <f t="shared" ca="1" si="0"/>
        <v>Vigente</v>
      </c>
      <c r="AD19" s="71" t="str">
        <f>CONCATENATE('Seguimiento OIT_Backup'!$U19," ",'Seguimiento OIT_Backup'!$V19)</f>
        <v>Orden de Servicio 0002327-2026</v>
      </c>
      <c r="AE19" s="72" t="str">
        <f t="shared" si="1"/>
        <v>DAILY TECHNOLOGY S.A.C</v>
      </c>
      <c r="AF19" s="73">
        <f t="shared" si="2"/>
        <v>46147</v>
      </c>
      <c r="AG19" s="63" t="s">
        <v>120</v>
      </c>
      <c r="AH19" s="74">
        <v>46163</v>
      </c>
      <c r="AI19" s="74">
        <v>46527</v>
      </c>
      <c r="AJ19" s="75" t="str">
        <f>IFERROR(IF(OR(AH19="-",AH19="",AI19="-",AI19=""),"-",CONCATENATE('Seguimiento OIT_Backup'!AI19-'Seguimiento OIT_Backup'!AH19+1," dias")),"-")</f>
        <v>365 dias</v>
      </c>
      <c r="AK19" s="63" t="s">
        <v>182</v>
      </c>
      <c r="AL19" s="35"/>
      <c r="AM19" s="35"/>
    </row>
    <row r="20" spans="1:39" ht="43.9" customHeight="1">
      <c r="A20" s="37" t="s">
        <v>1164</v>
      </c>
      <c r="B20" s="61" t="s">
        <v>45</v>
      </c>
      <c r="C20" s="61" t="s">
        <v>61</v>
      </c>
      <c r="D20" s="62" t="s">
        <v>43</v>
      </c>
      <c r="E20" s="62" t="s">
        <v>43</v>
      </c>
      <c r="F20" s="60" t="s">
        <v>185</v>
      </c>
      <c r="G20" s="76" t="s">
        <v>69</v>
      </c>
      <c r="H20" s="60" t="s">
        <v>187</v>
      </c>
      <c r="I20" s="62" t="s">
        <v>186</v>
      </c>
      <c r="J20" s="62" t="s">
        <v>119</v>
      </c>
      <c r="K20" s="63" t="s">
        <v>120</v>
      </c>
      <c r="L20" s="63" t="s">
        <v>75</v>
      </c>
      <c r="M20" s="63" t="s">
        <v>130</v>
      </c>
      <c r="N20" s="64">
        <v>43890</v>
      </c>
      <c r="O20" s="65">
        <v>46049</v>
      </c>
      <c r="P20" s="66" t="s">
        <v>882</v>
      </c>
      <c r="Q20" s="67" t="s">
        <v>423</v>
      </c>
      <c r="R20" s="86">
        <v>46098</v>
      </c>
      <c r="S20" s="68" t="str">
        <f ca="1">IFERROR(IF(OR(P20="Contratado",P20="No corresponde atención OGTI",P20="Desistido"),"-",IF('Seguimiento OIT_Backup'!$R20="","-",NETWORKDAYS('Seguimiento OIT_Backup'!$R20,TODAY(),{"02/04/2026";"03/04/2026"}))),"-")</f>
        <v>-</v>
      </c>
      <c r="T20" s="68" t="str">
        <f ca="1">IFERROR(IF(OR(D20="-",D20="",P20="Contratado"),"-",TODAY()-'Seguimiento OIT_Backup'!$D20),"-")</f>
        <v>-</v>
      </c>
      <c r="U20" s="69" t="s">
        <v>77</v>
      </c>
      <c r="V20" s="67" t="s">
        <v>188</v>
      </c>
      <c r="W20" s="62">
        <v>46097</v>
      </c>
      <c r="X20" s="69" t="s">
        <v>189</v>
      </c>
      <c r="Y20" s="63" t="s">
        <v>43</v>
      </c>
      <c r="Z20" s="70" t="s">
        <v>191</v>
      </c>
      <c r="AA20" s="63" t="s">
        <v>43</v>
      </c>
      <c r="AB20" s="61" t="s">
        <v>54</v>
      </c>
      <c r="AC20" s="68" t="str">
        <f t="shared" ca="1" si="0"/>
        <v>Vigente</v>
      </c>
      <c r="AD20" s="71" t="str">
        <f>CONCATENATE('Seguimiento OIT_Backup'!$U20," ",'Seguimiento OIT_Backup'!$V20)</f>
        <v>Orden de Servicio 0001386-2026</v>
      </c>
      <c r="AE20" s="72" t="str">
        <f t="shared" si="1"/>
        <v>ENTEL PERU S.A.</v>
      </c>
      <c r="AF20" s="73">
        <f t="shared" si="2"/>
        <v>46097</v>
      </c>
      <c r="AG20" s="63" t="s">
        <v>120</v>
      </c>
      <c r="AH20" s="74">
        <v>46150</v>
      </c>
      <c r="AI20" s="74">
        <v>46334</v>
      </c>
      <c r="AJ20" s="75" t="str">
        <f>IFERROR(IF(OR(AH20="-",AH20="",AI20="-",AI20=""),"-",CONCATENATE('Seguimiento OIT_Backup'!AI20-'Seguimiento OIT_Backup'!AH20+1," dias")),"-")</f>
        <v>185 dias</v>
      </c>
      <c r="AK20" s="63" t="s">
        <v>190</v>
      </c>
      <c r="AL20" s="35"/>
      <c r="AM20" s="35"/>
    </row>
    <row r="21" spans="1:39" ht="43.9" customHeight="1">
      <c r="A21" s="37" t="s">
        <v>1165</v>
      </c>
      <c r="B21" s="61" t="s">
        <v>45</v>
      </c>
      <c r="C21" s="61" t="s">
        <v>61</v>
      </c>
      <c r="D21" s="62" t="s">
        <v>43</v>
      </c>
      <c r="E21" s="62" t="s">
        <v>43</v>
      </c>
      <c r="F21" s="60" t="s">
        <v>193</v>
      </c>
      <c r="G21" s="76" t="s">
        <v>69</v>
      </c>
      <c r="H21" s="60" t="s">
        <v>195</v>
      </c>
      <c r="I21" s="62" t="s">
        <v>194</v>
      </c>
      <c r="J21" s="62" t="s">
        <v>73</v>
      </c>
      <c r="K21" s="63" t="s">
        <v>120</v>
      </c>
      <c r="L21" s="63" t="s">
        <v>75</v>
      </c>
      <c r="M21" s="63" t="s">
        <v>196</v>
      </c>
      <c r="N21" s="64">
        <v>12150</v>
      </c>
      <c r="O21" s="65">
        <v>46122</v>
      </c>
      <c r="P21" s="66" t="s">
        <v>882</v>
      </c>
      <c r="Q21" s="67" t="s">
        <v>423</v>
      </c>
      <c r="R21" s="86">
        <v>46134</v>
      </c>
      <c r="S21" s="68" t="str">
        <f ca="1">IFERROR(IF(OR(P21="Contratado",P21="No corresponde atención OGTI",P21="Desistido"),"-",IF('Seguimiento OIT_Backup'!$R21="","-",NETWORKDAYS('Seguimiento OIT_Backup'!$R21,TODAY(),{"02/04/2026";"03/04/2026"}))),"-")</f>
        <v>-</v>
      </c>
      <c r="T21" s="68" t="str">
        <f ca="1">IFERROR(IF(OR(D21="-",D21="",P21="Contratado"),"-",TODAY()-'Seguimiento OIT_Backup'!$D21),"-")</f>
        <v>-</v>
      </c>
      <c r="U21" s="69" t="s">
        <v>197</v>
      </c>
      <c r="V21" s="67" t="s">
        <v>198</v>
      </c>
      <c r="W21" s="62">
        <v>46128</v>
      </c>
      <c r="X21" s="69" t="s">
        <v>199</v>
      </c>
      <c r="Y21" s="63" t="s">
        <v>43</v>
      </c>
      <c r="Z21" s="70" t="s">
        <v>200</v>
      </c>
      <c r="AA21" s="63" t="s">
        <v>43</v>
      </c>
      <c r="AB21" s="61" t="s">
        <v>54</v>
      </c>
      <c r="AC21" s="68" t="str">
        <f t="shared" ca="1" si="0"/>
        <v>Vigente</v>
      </c>
      <c r="AD21" s="71" t="str">
        <f>CONCATENATE('Seguimiento OIT_Backup'!$U21," ",'Seguimiento OIT_Backup'!$V21)</f>
        <v>Nota de Compromiso 0345-2026-EF</v>
      </c>
      <c r="AE21" s="72" t="str">
        <f t="shared" si="1"/>
        <v>RENIEC</v>
      </c>
      <c r="AF21" s="73">
        <f>IF(OR(W21="",W21="-"),"-",W21)</f>
        <v>46128</v>
      </c>
      <c r="AG21" s="63" t="s">
        <v>120</v>
      </c>
      <c r="AH21" s="74">
        <v>46113</v>
      </c>
      <c r="AI21" s="74">
        <v>46265</v>
      </c>
      <c r="AJ21" s="75" t="str">
        <f>IFERROR(IF(OR(AH21="-",AH21="",AI21="-",AI21=""),"-",CONCATENATE('Seguimiento OIT_Backup'!AI21-'Seguimiento OIT_Backup'!AH21+1," dias")),"-")</f>
        <v>153 dias</v>
      </c>
      <c r="AK21" s="63" t="s">
        <v>43</v>
      </c>
      <c r="AL21" s="35"/>
      <c r="AM21" s="35"/>
    </row>
    <row r="22" spans="1:39" ht="43.9" customHeight="1">
      <c r="A22" s="37" t="s">
        <v>1166</v>
      </c>
      <c r="B22" s="61" t="s">
        <v>45</v>
      </c>
      <c r="C22" s="61" t="s">
        <v>61</v>
      </c>
      <c r="D22" s="62" t="s">
        <v>43</v>
      </c>
      <c r="E22" s="62" t="s">
        <v>43</v>
      </c>
      <c r="F22" s="60" t="s">
        <v>202</v>
      </c>
      <c r="G22" s="76" t="s">
        <v>47</v>
      </c>
      <c r="H22" s="60" t="s">
        <v>204</v>
      </c>
      <c r="I22" s="62" t="s">
        <v>203</v>
      </c>
      <c r="J22" s="62" t="s">
        <v>73</v>
      </c>
      <c r="K22" s="63" t="s">
        <v>74</v>
      </c>
      <c r="L22" s="63" t="s">
        <v>75</v>
      </c>
      <c r="M22" s="63" t="s">
        <v>205</v>
      </c>
      <c r="N22" s="64">
        <v>26724.01</v>
      </c>
      <c r="O22" s="65">
        <v>46129</v>
      </c>
      <c r="P22" s="66" t="s">
        <v>882</v>
      </c>
      <c r="Q22" s="67" t="s">
        <v>423</v>
      </c>
      <c r="R22" s="86">
        <v>46140</v>
      </c>
      <c r="S22" s="68" t="str">
        <f ca="1">IFERROR(IF(OR(P22="Contratado",P22="No corresponde atención OGTI",P22="Desistido"),"-",IF('Seguimiento OIT_Backup'!$R22="","-",NETWORKDAYS('Seguimiento OIT_Backup'!$R22,TODAY(),{"02/04/2026";"03/04/2026"}))),"-")</f>
        <v>-</v>
      </c>
      <c r="T22" s="68" t="str">
        <f ca="1">IFERROR(IF(OR(D22="-",D22="",P22="Contratado"),"-",TODAY()-'Seguimiento OIT_Backup'!$D22),"-")</f>
        <v>-</v>
      </c>
      <c r="U22" s="69" t="s">
        <v>55</v>
      </c>
      <c r="V22" s="67" t="s">
        <v>206</v>
      </c>
      <c r="W22" s="62">
        <v>46140</v>
      </c>
      <c r="X22" s="69" t="s">
        <v>207</v>
      </c>
      <c r="Y22" s="63" t="s">
        <v>43</v>
      </c>
      <c r="Z22" s="70" t="s">
        <v>209</v>
      </c>
      <c r="AA22" s="63" t="s">
        <v>43</v>
      </c>
      <c r="AB22" s="61" t="s">
        <v>54</v>
      </c>
      <c r="AC22" s="68" t="str">
        <f t="shared" ca="1" si="0"/>
        <v>No aplica</v>
      </c>
      <c r="AD22" s="71" t="str">
        <f>CONCATENATE('Seguimiento OIT_Backup'!$U22," ",'Seguimiento OIT_Backup'!$V22)</f>
        <v>Orden de Compra 0000137-2026</v>
      </c>
      <c r="AE22" s="72" t="str">
        <f t="shared" si="1"/>
        <v>TEAMWORK CONSULTING &amp; GENERAL SERVICES S.A.C.</v>
      </c>
      <c r="AF22" s="73">
        <f t="shared" si="2"/>
        <v>46140</v>
      </c>
      <c r="AG22" s="63" t="s">
        <v>74</v>
      </c>
      <c r="AH22" s="74" t="s">
        <v>43</v>
      </c>
      <c r="AI22" s="74" t="s">
        <v>43</v>
      </c>
      <c r="AJ22" s="75" t="str">
        <f>IFERROR(IF(OR(AH22="-",AH22="",AI22="-",AI22=""),"-",CONCATENATE('Seguimiento OIT_Backup'!AI22-'Seguimiento OIT_Backup'!AH22+1," dias")),"-")</f>
        <v>-</v>
      </c>
      <c r="AK22" s="63" t="s">
        <v>208</v>
      </c>
      <c r="AL22" s="35"/>
      <c r="AM22" s="35"/>
    </row>
    <row r="23" spans="1:39" ht="43.9" customHeight="1">
      <c r="A23" s="37" t="s">
        <v>1167</v>
      </c>
      <c r="B23" s="61" t="s">
        <v>45</v>
      </c>
      <c r="C23" s="61" t="s">
        <v>61</v>
      </c>
      <c r="D23" s="62" t="s">
        <v>43</v>
      </c>
      <c r="E23" s="62" t="s">
        <v>43</v>
      </c>
      <c r="F23" s="60" t="s">
        <v>211</v>
      </c>
      <c r="G23" s="76" t="s">
        <v>47</v>
      </c>
      <c r="H23" s="60" t="s">
        <v>213</v>
      </c>
      <c r="I23" s="62" t="s">
        <v>212</v>
      </c>
      <c r="J23" s="62" t="s">
        <v>73</v>
      </c>
      <c r="K23" s="63" t="s">
        <v>74</v>
      </c>
      <c r="L23" s="63" t="s">
        <v>75</v>
      </c>
      <c r="M23" s="63" t="s">
        <v>110</v>
      </c>
      <c r="N23" s="64" t="s">
        <v>280</v>
      </c>
      <c r="O23" s="65">
        <v>46167</v>
      </c>
      <c r="P23" s="66" t="s">
        <v>422</v>
      </c>
      <c r="Q23" s="67" t="s">
        <v>423</v>
      </c>
      <c r="R23" s="86">
        <v>46184</v>
      </c>
      <c r="S23" s="68">
        <f ca="1">IFERROR(IF(OR(P23="Contratado",P23="No corresponde atención OGTI",P23="Desistido"),"-",IF('Seguimiento OIT_Backup'!$R23="","-",NETWORKDAYS('Seguimiento OIT_Backup'!$R23,TODAY(),{"02/04/2026";"03/04/2026"}))),"-")</f>
        <v>37</v>
      </c>
      <c r="T23" s="68" t="str">
        <f ca="1">IFERROR(IF(OR(D23="-",D23="",P23="Contratado"),"-",TODAY()-'Seguimiento OIT_Backup'!$D23),"-")</f>
        <v>-</v>
      </c>
      <c r="U23" s="69" t="s">
        <v>43</v>
      </c>
      <c r="V23" s="82" t="s">
        <v>43</v>
      </c>
      <c r="W23" s="82" t="s">
        <v>43</v>
      </c>
      <c r="X23" s="82" t="s">
        <v>43</v>
      </c>
      <c r="Y23" s="80" t="s">
        <v>43</v>
      </c>
      <c r="Z23" s="79" t="s">
        <v>217</v>
      </c>
      <c r="AA23" s="80" t="s">
        <v>43</v>
      </c>
      <c r="AB23" s="61" t="s">
        <v>43</v>
      </c>
      <c r="AC23" s="68" t="str">
        <f t="shared" ca="1" si="0"/>
        <v>-</v>
      </c>
      <c r="AD23" s="71" t="str">
        <f>CONCATENATE('Seguimiento OIT_Backup'!$U23," ",'Seguimiento OIT_Backup'!$V23)</f>
        <v>- -</v>
      </c>
      <c r="AE23" s="72" t="str">
        <f t="shared" si="1"/>
        <v>-</v>
      </c>
      <c r="AF23" s="73" t="str">
        <f t="shared" si="2"/>
        <v>-</v>
      </c>
      <c r="AG23" s="63" t="s">
        <v>43</v>
      </c>
      <c r="AH23" s="74"/>
      <c r="AI23" s="74"/>
      <c r="AJ23" s="75" t="str">
        <f>IFERROR(IF(OR(AH23="-",AH23="",AI23="-",AI23=""),"-",CONCATENATE('Seguimiento OIT_Backup'!AI23-'Seguimiento OIT_Backup'!AH23+1," dias")),"-")</f>
        <v>-</v>
      </c>
      <c r="AK23" s="63"/>
      <c r="AL23" s="35"/>
      <c r="AM23" s="35"/>
    </row>
    <row r="24" spans="1:39" ht="43.9" customHeight="1">
      <c r="A24" s="61" t="s">
        <v>1168</v>
      </c>
      <c r="B24" s="61" t="s">
        <v>45</v>
      </c>
      <c r="C24" s="61" t="s">
        <v>46</v>
      </c>
      <c r="D24" s="62" t="s">
        <v>43</v>
      </c>
      <c r="E24" s="62" t="s">
        <v>43</v>
      </c>
      <c r="F24" s="60" t="s">
        <v>219</v>
      </c>
      <c r="G24" s="76" t="s">
        <v>69</v>
      </c>
      <c r="H24" s="60" t="s">
        <v>221</v>
      </c>
      <c r="I24" s="62" t="s">
        <v>220</v>
      </c>
      <c r="J24" s="62" t="s">
        <v>222</v>
      </c>
      <c r="K24" s="63" t="s">
        <v>223</v>
      </c>
      <c r="L24" s="63" t="s">
        <v>223</v>
      </c>
      <c r="M24" s="63" t="s">
        <v>43</v>
      </c>
      <c r="N24" s="81">
        <v>43992</v>
      </c>
      <c r="O24" s="65"/>
      <c r="P24" s="66" t="s">
        <v>882</v>
      </c>
      <c r="Q24" s="67" t="s">
        <v>43</v>
      </c>
      <c r="R24" s="62"/>
      <c r="S24" s="68" t="str">
        <f ca="1">IFERROR(IF(OR(P24="Contratado",P24="No corresponde atención OGTI",P24="Desistido"),"-",IF('Seguimiento OIT_Backup'!$R24="","-",NETWORKDAYS('Seguimiento OIT_Backup'!$R24,TODAY(),{"02/04/2026";"03/04/2026"}))),"-")</f>
        <v>-</v>
      </c>
      <c r="T24" s="68" t="str">
        <f ca="1">IFERROR(IF(OR(D24="-",D24="",P24="Contratado"),"-",TODAY()-'Seguimiento OIT_Backup'!$D24),"-")</f>
        <v>-</v>
      </c>
      <c r="U24" s="69" t="s">
        <v>224</v>
      </c>
      <c r="V24" s="67" t="s">
        <v>225</v>
      </c>
      <c r="W24" s="62">
        <v>46086</v>
      </c>
      <c r="X24" s="69" t="s">
        <v>112</v>
      </c>
      <c r="Y24" s="63" t="s">
        <v>43</v>
      </c>
      <c r="Z24" s="70" t="s">
        <v>226</v>
      </c>
      <c r="AA24" s="63" t="s">
        <v>43</v>
      </c>
      <c r="AB24" s="61" t="s">
        <v>54</v>
      </c>
      <c r="AC24" s="68" t="str">
        <f t="shared" ca="1" si="0"/>
        <v>Vigente</v>
      </c>
      <c r="AD24" s="71" t="str">
        <f>CONCATENATE('Seguimiento OIT_Backup'!$U24," ",'Seguimiento OIT_Backup'!$V24)</f>
        <v>Contrato 003-2026-EF/43.03/CM</v>
      </c>
      <c r="AE24" s="72" t="str">
        <f t="shared" si="1"/>
        <v>GRUPO VENTURA PERU S.A.C.</v>
      </c>
      <c r="AF24" s="73">
        <f t="shared" si="2"/>
        <v>46086</v>
      </c>
      <c r="AG24" s="63" t="s">
        <v>223</v>
      </c>
      <c r="AH24" s="74">
        <v>46090</v>
      </c>
      <c r="AI24" s="74">
        <v>46449</v>
      </c>
      <c r="AJ24" s="75" t="str">
        <f>IFERROR(IF(OR(AH24="-",AH24="",AI24="-",AI24=""),"-",CONCATENATE('Seguimiento OIT_Backup'!AI24-'Seguimiento OIT_Backup'!AH24+1," dias")),"-")</f>
        <v>360 dias</v>
      </c>
      <c r="AK24" s="63"/>
      <c r="AL24" s="35"/>
      <c r="AM24" s="35"/>
    </row>
    <row r="25" spans="1:39" ht="43.9" customHeight="1">
      <c r="A25" s="61" t="s">
        <v>1169</v>
      </c>
      <c r="B25" s="61" t="s">
        <v>45</v>
      </c>
      <c r="C25" s="61" t="s">
        <v>228</v>
      </c>
      <c r="D25" s="62" t="s">
        <v>43</v>
      </c>
      <c r="E25" s="62" t="s">
        <v>43</v>
      </c>
      <c r="F25" s="60" t="s">
        <v>229</v>
      </c>
      <c r="G25" s="76" t="s">
        <v>47</v>
      </c>
      <c r="H25" s="60" t="s">
        <v>231</v>
      </c>
      <c r="I25" s="62" t="s">
        <v>230</v>
      </c>
      <c r="J25" s="62" t="s">
        <v>73</v>
      </c>
      <c r="K25" s="63" t="s">
        <v>74</v>
      </c>
      <c r="L25" s="63" t="s">
        <v>75</v>
      </c>
      <c r="M25" s="63" t="s">
        <v>110</v>
      </c>
      <c r="N25" s="64">
        <v>1698</v>
      </c>
      <c r="O25" s="65">
        <v>46192</v>
      </c>
      <c r="P25" s="66" t="s">
        <v>882</v>
      </c>
      <c r="Q25" s="67" t="s">
        <v>423</v>
      </c>
      <c r="R25" s="86">
        <v>46192</v>
      </c>
      <c r="S25" s="68" t="str">
        <f ca="1">IFERROR(IF(OR(P25="Contratado",P25="No corresponde atención OGTI",P25="Desistido"),"-",IF('Seguimiento OIT_Backup'!$R25="","-",NETWORKDAYS('Seguimiento OIT_Backup'!$R25,TODAY(),{"02/04/2026";"03/04/2026"}))),"-")</f>
        <v>-</v>
      </c>
      <c r="T25" s="68" t="str">
        <f ca="1">IFERROR(IF(OR(D25="-",D25="",P25="Contratado"),"-",TODAY()-'Seguimiento OIT_Backup'!$D25),"-")</f>
        <v>-</v>
      </c>
      <c r="U25" s="69" t="s">
        <v>55</v>
      </c>
      <c r="V25" s="67" t="s">
        <v>232</v>
      </c>
      <c r="W25" s="62">
        <v>46192</v>
      </c>
      <c r="X25" s="69" t="s">
        <v>233</v>
      </c>
      <c r="Y25" s="87" t="s">
        <v>235</v>
      </c>
      <c r="Z25" s="70" t="s">
        <v>237</v>
      </c>
      <c r="AA25" s="63" t="s">
        <v>43</v>
      </c>
      <c r="AB25" s="61" t="s">
        <v>815</v>
      </c>
      <c r="AC25" s="68" t="str">
        <f t="shared" ca="1" si="0"/>
        <v>Ejecutandose</v>
      </c>
      <c r="AD25" s="71" t="str">
        <f>CONCATENATE('Seguimiento OIT_Backup'!$U25," ",'Seguimiento OIT_Backup'!$V25)</f>
        <v>Orden de Compra *0000204-2026
*0000205-2026</v>
      </c>
      <c r="AE25" s="72" t="str">
        <f t="shared" si="1"/>
        <v>*INVERSIONES FOTOGRAFICAS DEL PERU S.A.C
*ELECTRONICA MUSICAL SOCIEDAD ANONIMA CERRADA</v>
      </c>
      <c r="AF25" s="73">
        <f t="shared" si="2"/>
        <v>46192</v>
      </c>
      <c r="AG25" s="85" t="s">
        <v>234</v>
      </c>
      <c r="AH25" s="74" t="s">
        <v>43</v>
      </c>
      <c r="AI25" s="74" t="s">
        <v>43</v>
      </c>
      <c r="AJ25" s="75" t="str">
        <f>IFERROR(IF(OR(AH25="-",AH25="",AI25="-",AI25=""),"-",CONCATENATE('Seguimiento OIT_Backup'!AI25-'Seguimiento OIT_Backup'!AH25+1," dias")),"-")</f>
        <v>-</v>
      </c>
      <c r="AK25" s="63" t="s">
        <v>1170</v>
      </c>
      <c r="AL25" s="35"/>
      <c r="AM25" s="35"/>
    </row>
    <row r="26" spans="1:39" ht="43.9" customHeight="1">
      <c r="A26" s="37" t="s">
        <v>1171</v>
      </c>
      <c r="B26" s="61" t="s">
        <v>45</v>
      </c>
      <c r="C26" s="61" t="s">
        <v>61</v>
      </c>
      <c r="D26" s="62" t="s">
        <v>43</v>
      </c>
      <c r="E26" s="62" t="s">
        <v>43</v>
      </c>
      <c r="F26" s="60" t="s">
        <v>239</v>
      </c>
      <c r="G26" s="76" t="s">
        <v>47</v>
      </c>
      <c r="H26" s="60" t="s">
        <v>241</v>
      </c>
      <c r="I26" s="62" t="s">
        <v>240</v>
      </c>
      <c r="J26" s="62" t="s">
        <v>73</v>
      </c>
      <c r="K26" s="63" t="s">
        <v>74</v>
      </c>
      <c r="L26" s="63" t="s">
        <v>75</v>
      </c>
      <c r="M26" s="63" t="s">
        <v>102</v>
      </c>
      <c r="N26" s="64">
        <v>3157.04</v>
      </c>
      <c r="O26" s="65">
        <v>46170</v>
      </c>
      <c r="P26" s="66" t="s">
        <v>882</v>
      </c>
      <c r="Q26" s="67" t="s">
        <v>423</v>
      </c>
      <c r="R26" s="86">
        <v>46191</v>
      </c>
      <c r="S26" s="68" t="str">
        <f ca="1">IFERROR(IF(OR(P26="Contratado",P26="No corresponde atención OGTI",P26="Desistido"),"-",IF('Seguimiento OIT_Backup'!$R26="","-",NETWORKDAYS('Seguimiento OIT_Backup'!$R26,TODAY(),{"02/04/2026";"03/04/2026"}))),"-")</f>
        <v>-</v>
      </c>
      <c r="T26" s="68" t="str">
        <f ca="1">IFERROR(IF(OR(D26="-",D26="",P26="Contratado"),"-",TODAY()-'Seguimiento OIT_Backup'!$D26),"-")</f>
        <v>-</v>
      </c>
      <c r="U26" s="69" t="s">
        <v>55</v>
      </c>
      <c r="V26" s="67" t="s">
        <v>242</v>
      </c>
      <c r="W26" s="62">
        <v>46191</v>
      </c>
      <c r="X26" s="69" t="s">
        <v>243</v>
      </c>
      <c r="Y26" s="87" t="s">
        <v>244</v>
      </c>
      <c r="Z26" s="70" t="s">
        <v>246</v>
      </c>
      <c r="AA26" s="63" t="s">
        <v>43</v>
      </c>
      <c r="AB26" s="61" t="s">
        <v>815</v>
      </c>
      <c r="AC26" s="68" t="str">
        <f t="shared" ca="1" si="0"/>
        <v>Ejecutandose</v>
      </c>
      <c r="AD26" s="71" t="str">
        <f>CONCATENATE('Seguimiento OIT_Backup'!$U26," ",'Seguimiento OIT_Backup'!$V26)</f>
        <v>Orden de Compra 0000200-2026</v>
      </c>
      <c r="AE26" s="72" t="str">
        <f t="shared" si="1"/>
        <v>RAM STORE S.A.C.</v>
      </c>
      <c r="AF26" s="73">
        <f t="shared" si="2"/>
        <v>46191</v>
      </c>
      <c r="AG26" s="63" t="s">
        <v>74</v>
      </c>
      <c r="AH26" s="74" t="s">
        <v>43</v>
      </c>
      <c r="AI26" s="74" t="s">
        <v>43</v>
      </c>
      <c r="AJ26" s="75" t="str">
        <f>IFERROR(IF(OR(AH26="-",AH26="",AI26="-",AI26=""),"-",CONCATENATE('Seguimiento OIT_Backup'!AI26-'Seguimiento OIT_Backup'!AH26+1," dias")),"-")</f>
        <v>-</v>
      </c>
      <c r="AK26" s="63" t="s">
        <v>1172</v>
      </c>
      <c r="AL26" s="35"/>
      <c r="AM26" s="35"/>
    </row>
    <row r="27" spans="1:39" ht="43.9" customHeight="1">
      <c r="A27" s="37" t="s">
        <v>1173</v>
      </c>
      <c r="B27" s="61" t="s">
        <v>45</v>
      </c>
      <c r="C27" s="61" t="s">
        <v>228</v>
      </c>
      <c r="D27" s="62" t="s">
        <v>43</v>
      </c>
      <c r="E27" s="62" t="s">
        <v>43</v>
      </c>
      <c r="F27" s="60" t="s">
        <v>248</v>
      </c>
      <c r="G27" s="76" t="s">
        <v>69</v>
      </c>
      <c r="H27" s="60" t="s">
        <v>250</v>
      </c>
      <c r="I27" s="62" t="s">
        <v>249</v>
      </c>
      <c r="J27" s="62" t="s">
        <v>73</v>
      </c>
      <c r="K27" s="63" t="s">
        <v>74</v>
      </c>
      <c r="L27" s="63" t="s">
        <v>75</v>
      </c>
      <c r="M27" s="63" t="s">
        <v>137</v>
      </c>
      <c r="N27" s="64">
        <v>1958.8</v>
      </c>
      <c r="O27" s="65">
        <v>46188</v>
      </c>
      <c r="P27" s="66" t="s">
        <v>882</v>
      </c>
      <c r="Q27" s="67" t="s">
        <v>423</v>
      </c>
      <c r="R27" s="86">
        <v>46191</v>
      </c>
      <c r="S27" s="68" t="str">
        <f ca="1">IFERROR(IF(OR(P27="Contratado",P27="No corresponde atención OGTI",P27="Desistido"),"-",IF('Seguimiento OIT_Backup'!$R27="","-",NETWORKDAYS('Seguimiento OIT_Backup'!$R27,TODAY(),{"02/04/2026";"03/04/2026"}))),"-")</f>
        <v>-</v>
      </c>
      <c r="T27" s="68" t="str">
        <f ca="1">IFERROR(IF(OR(D27="-",D27="",P27="Contratado"),"-",TODAY()-'Seguimiento OIT_Backup'!$D27),"-")</f>
        <v>-</v>
      </c>
      <c r="U27" s="69" t="s">
        <v>77</v>
      </c>
      <c r="V27" s="67" t="s">
        <v>251</v>
      </c>
      <c r="W27" s="62">
        <v>46191</v>
      </c>
      <c r="X27" s="69" t="s">
        <v>252</v>
      </c>
      <c r="Y27" s="87" t="s">
        <v>1174</v>
      </c>
      <c r="Z27" s="70" t="s">
        <v>256</v>
      </c>
      <c r="AA27" s="63" t="s">
        <v>43</v>
      </c>
      <c r="AB27" s="61" t="s">
        <v>815</v>
      </c>
      <c r="AC27" s="68" t="str">
        <f t="shared" ca="1" si="0"/>
        <v>Ejecutandose</v>
      </c>
      <c r="AD27" s="71" t="str">
        <f>CONCATENATE('Seguimiento OIT_Backup'!$U27," ",'Seguimiento OIT_Backup'!$V27)</f>
        <v>Orden de Servicio 0002992-2026</v>
      </c>
      <c r="AE27" s="72" t="str">
        <f t="shared" si="1"/>
        <v>CUBICERP PERU S.R.L.</v>
      </c>
      <c r="AF27" s="73">
        <f t="shared" si="2"/>
        <v>46191</v>
      </c>
      <c r="AG27" s="85" t="s">
        <v>253</v>
      </c>
      <c r="AH27" s="74" t="s">
        <v>43</v>
      </c>
      <c r="AI27" s="74" t="s">
        <v>43</v>
      </c>
      <c r="AJ27" s="75" t="str">
        <f>IFERROR(IF(OR(AH27="-",AH27="",AI27="-",AI27=""),"-",CONCATENATE('Seguimiento OIT_Backup'!AI27-'Seguimiento OIT_Backup'!AH27+1," dias")),"-")</f>
        <v>-</v>
      </c>
      <c r="AK27" s="63" t="s">
        <v>1175</v>
      </c>
      <c r="AL27" s="35"/>
      <c r="AM27" s="35"/>
    </row>
    <row r="28" spans="1:39" ht="43.9" customHeight="1">
      <c r="A28" s="37" t="s">
        <v>1176</v>
      </c>
      <c r="B28" s="61" t="s">
        <v>45</v>
      </c>
      <c r="C28" s="61" t="s">
        <v>228</v>
      </c>
      <c r="D28" s="62" t="s">
        <v>43</v>
      </c>
      <c r="E28" s="62" t="s">
        <v>43</v>
      </c>
      <c r="F28" s="60" t="s">
        <v>258</v>
      </c>
      <c r="G28" s="76" t="s">
        <v>47</v>
      </c>
      <c r="H28" s="60" t="s">
        <v>260</v>
      </c>
      <c r="I28" s="62" t="s">
        <v>259</v>
      </c>
      <c r="J28" s="62" t="s">
        <v>73</v>
      </c>
      <c r="K28" s="63" t="s">
        <v>74</v>
      </c>
      <c r="L28" s="63" t="s">
        <v>75</v>
      </c>
      <c r="M28" s="63" t="s">
        <v>261</v>
      </c>
      <c r="N28" s="64" t="s">
        <v>43</v>
      </c>
      <c r="O28" s="65">
        <v>46178</v>
      </c>
      <c r="P28" s="66" t="s">
        <v>262</v>
      </c>
      <c r="Q28" s="67" t="s">
        <v>270</v>
      </c>
      <c r="R28" s="86">
        <v>46184</v>
      </c>
      <c r="S28" s="68" t="str">
        <f ca="1">IFERROR(IF(OR(P28="Contratado",P28="No corresponde atención OGTI",P28="Desistido"),"-",IF('Seguimiento OIT_Backup'!$R28="","-",NETWORKDAYS('Seguimiento OIT_Backup'!$R28,TODAY(),{"02/04/2026";"03/04/2026"}))),"-")</f>
        <v>-</v>
      </c>
      <c r="T28" s="68" t="str">
        <f ca="1">IFERROR(IF(OR(D28="-",D28="",P28="Contratado"),"-",TODAY()-'Seguimiento OIT_Backup'!$D28),"-")</f>
        <v>-</v>
      </c>
      <c r="U28" s="69" t="s">
        <v>43</v>
      </c>
      <c r="V28" s="67" t="s">
        <v>43</v>
      </c>
      <c r="W28" s="82" t="s">
        <v>43</v>
      </c>
      <c r="X28" s="82" t="s">
        <v>43</v>
      </c>
      <c r="Y28" s="87" t="s">
        <v>263</v>
      </c>
      <c r="Z28" s="70" t="s">
        <v>264</v>
      </c>
      <c r="AA28" s="63" t="s">
        <v>43</v>
      </c>
      <c r="AB28" s="61" t="s">
        <v>262</v>
      </c>
      <c r="AC28" s="68" t="str">
        <f t="shared" ca="1" si="0"/>
        <v>-</v>
      </c>
      <c r="AD28" s="71" t="str">
        <f>CONCATENATE('Seguimiento OIT_Backup'!$U28," ",'Seguimiento OIT_Backup'!$V28)</f>
        <v>- -</v>
      </c>
      <c r="AE28" s="72" t="str">
        <f t="shared" si="1"/>
        <v>-</v>
      </c>
      <c r="AF28" s="73" t="str">
        <f t="shared" si="2"/>
        <v>-</v>
      </c>
      <c r="AG28" s="63" t="s">
        <v>43</v>
      </c>
      <c r="AH28" s="74" t="s">
        <v>43</v>
      </c>
      <c r="AI28" s="74" t="s">
        <v>43</v>
      </c>
      <c r="AJ28" s="75" t="str">
        <f>IFERROR(IF(OR(AH28="-",AH28="",AI28="-",AI28=""),"-",CONCATENATE('Seguimiento OIT_Backup'!AI28-'Seguimiento OIT_Backup'!AH28+1," dias")),"-")</f>
        <v>-</v>
      </c>
      <c r="AK28" s="85" t="s">
        <v>43</v>
      </c>
      <c r="AL28" s="35"/>
      <c r="AM28" s="35"/>
    </row>
    <row r="29" spans="1:39" ht="43.9" customHeight="1">
      <c r="A29" s="37" t="s">
        <v>1177</v>
      </c>
      <c r="B29" s="61" t="s">
        <v>45</v>
      </c>
      <c r="C29" s="61" t="s">
        <v>228</v>
      </c>
      <c r="D29" s="62" t="s">
        <v>43</v>
      </c>
      <c r="E29" s="62" t="s">
        <v>43</v>
      </c>
      <c r="F29" s="60" t="s">
        <v>266</v>
      </c>
      <c r="G29" s="76" t="s">
        <v>47</v>
      </c>
      <c r="H29" s="60" t="s">
        <v>268</v>
      </c>
      <c r="I29" s="62" t="s">
        <v>267</v>
      </c>
      <c r="J29" s="62" t="s">
        <v>73</v>
      </c>
      <c r="K29" s="63" t="s">
        <v>74</v>
      </c>
      <c r="L29" s="63" t="s">
        <v>75</v>
      </c>
      <c r="M29" s="63" t="s">
        <v>110</v>
      </c>
      <c r="N29" s="64" t="s">
        <v>280</v>
      </c>
      <c r="O29" s="65">
        <v>46190</v>
      </c>
      <c r="P29" s="66" t="s">
        <v>430</v>
      </c>
      <c r="Q29" s="67" t="s">
        <v>423</v>
      </c>
      <c r="R29" s="86">
        <v>46190</v>
      </c>
      <c r="S29" s="68">
        <f ca="1">IFERROR(IF(OR(P29="Contratado",P29="No corresponde atención OGTI",P29="Desistido"),"-",IF('Seguimiento OIT_Backup'!$R29="","-",NETWORKDAYS('Seguimiento OIT_Backup'!$R29,TODAY(),{"02/04/2026";"03/04/2026"}))),"-")</f>
        <v>33</v>
      </c>
      <c r="T29" s="68" t="str">
        <f ca="1">IFERROR(IF(OR(D29="-",D29="",P29="Contratado"),"-",TODAY()-'Seguimiento OIT_Backup'!$D29),"-")</f>
        <v>-</v>
      </c>
      <c r="U29" s="69" t="s">
        <v>43</v>
      </c>
      <c r="V29" s="67" t="s">
        <v>43</v>
      </c>
      <c r="W29" s="82" t="s">
        <v>43</v>
      </c>
      <c r="X29" s="82" t="s">
        <v>43</v>
      </c>
      <c r="Y29" s="63" t="s">
        <v>43</v>
      </c>
      <c r="Z29" s="70" t="s">
        <v>275</v>
      </c>
      <c r="AA29" s="63" t="s">
        <v>43</v>
      </c>
      <c r="AB29" s="61" t="s">
        <v>43</v>
      </c>
      <c r="AC29" s="68" t="str">
        <f t="shared" ca="1" si="0"/>
        <v>-</v>
      </c>
      <c r="AD29" s="71" t="str">
        <f>CONCATENATE('Seguimiento OIT_Backup'!$U29," ",'Seguimiento OIT_Backup'!$V29)</f>
        <v>- -</v>
      </c>
      <c r="AE29" s="72" t="str">
        <f t="shared" si="1"/>
        <v>-</v>
      </c>
      <c r="AF29" s="73" t="str">
        <f t="shared" si="2"/>
        <v>-</v>
      </c>
      <c r="AG29" s="63" t="s">
        <v>43</v>
      </c>
      <c r="AH29" s="74" t="s">
        <v>43</v>
      </c>
      <c r="AI29" s="74" t="s">
        <v>43</v>
      </c>
      <c r="AJ29" s="75" t="str">
        <f>IFERROR(IF(OR(AH29="-",AH29="",AI29="-",AI29=""),"-",CONCATENATE('Seguimiento OIT_Backup'!AI29-'Seguimiento OIT_Backup'!AH29+1," dias")),"-")</f>
        <v>-</v>
      </c>
      <c r="AK29" s="85" t="s">
        <v>43</v>
      </c>
      <c r="AL29" s="35"/>
      <c r="AM29" s="35"/>
    </row>
    <row r="30" spans="1:39" ht="43.9" customHeight="1">
      <c r="A30" s="37" t="s">
        <v>1178</v>
      </c>
      <c r="B30" s="61" t="s">
        <v>45</v>
      </c>
      <c r="C30" s="61" t="s">
        <v>228</v>
      </c>
      <c r="D30" s="62" t="s">
        <v>43</v>
      </c>
      <c r="E30" s="62" t="s">
        <v>43</v>
      </c>
      <c r="F30" s="60" t="s">
        <v>277</v>
      </c>
      <c r="G30" s="76" t="s">
        <v>47</v>
      </c>
      <c r="H30" s="60" t="s">
        <v>279</v>
      </c>
      <c r="I30" s="62" t="s">
        <v>278</v>
      </c>
      <c r="J30" s="62" t="s">
        <v>73</v>
      </c>
      <c r="K30" s="63" t="s">
        <v>74</v>
      </c>
      <c r="L30" s="63" t="s">
        <v>75</v>
      </c>
      <c r="M30" s="63" t="s">
        <v>94</v>
      </c>
      <c r="N30" s="64" t="s">
        <v>280</v>
      </c>
      <c r="O30" s="65">
        <v>46177</v>
      </c>
      <c r="P30" s="66" t="s">
        <v>281</v>
      </c>
      <c r="Q30" s="67" t="s">
        <v>270</v>
      </c>
      <c r="R30" s="86">
        <v>46189</v>
      </c>
      <c r="S30" s="68">
        <f ca="1">IFERROR(IF(OR(P30="Contratado",P30="No corresponde atención OGTI",P30="Desistido"),"-",IF('Seguimiento OIT_Backup'!$R30="","-",NETWORKDAYS('Seguimiento OIT_Backup'!$R30,TODAY(),{"02/04/2026";"03/04/2026"}))),"-")</f>
        <v>34</v>
      </c>
      <c r="T30" s="68" t="str">
        <f ca="1">IFERROR(IF(OR(D30="-",D30="",P30="Contratado"),"-",TODAY()-'Seguimiento OIT_Backup'!$D30),"-")</f>
        <v>-</v>
      </c>
      <c r="U30" s="69" t="s">
        <v>43</v>
      </c>
      <c r="V30" s="67" t="s">
        <v>43</v>
      </c>
      <c r="W30" s="82" t="s">
        <v>43</v>
      </c>
      <c r="X30" s="82" t="s">
        <v>43</v>
      </c>
      <c r="Y30" s="87" t="s">
        <v>282</v>
      </c>
      <c r="Z30" s="70" t="s">
        <v>283</v>
      </c>
      <c r="AA30" s="63" t="s">
        <v>43</v>
      </c>
      <c r="AB30" s="61" t="s">
        <v>43</v>
      </c>
      <c r="AC30" s="68" t="str">
        <f t="shared" ca="1" si="0"/>
        <v>-</v>
      </c>
      <c r="AD30" s="71" t="str">
        <f>CONCATENATE('Seguimiento OIT_Backup'!$U30," ",'Seguimiento OIT_Backup'!$V30)</f>
        <v>- -</v>
      </c>
      <c r="AE30" s="72" t="str">
        <f t="shared" si="1"/>
        <v>-</v>
      </c>
      <c r="AF30" s="73" t="str">
        <f t="shared" si="2"/>
        <v>-</v>
      </c>
      <c r="AG30" s="63" t="s">
        <v>43</v>
      </c>
      <c r="AH30" s="74" t="s">
        <v>43</v>
      </c>
      <c r="AI30" s="74" t="s">
        <v>43</v>
      </c>
      <c r="AJ30" s="75" t="str">
        <f>IFERROR(IF(OR(AH30="-",AH30="",AI30="-",AI30=""),"-",CONCATENATE('Seguimiento OIT_Backup'!AI30-'Seguimiento OIT_Backup'!AH30+1," dias")),"-")</f>
        <v>-</v>
      </c>
      <c r="AK30" s="85" t="s">
        <v>43</v>
      </c>
      <c r="AL30" s="35"/>
      <c r="AM30" s="35"/>
    </row>
    <row r="31" spans="1:39" ht="43.9" customHeight="1">
      <c r="A31" s="37" t="s">
        <v>1179</v>
      </c>
      <c r="B31" s="61" t="s">
        <v>45</v>
      </c>
      <c r="C31" s="61" t="s">
        <v>61</v>
      </c>
      <c r="D31" s="62" t="s">
        <v>43</v>
      </c>
      <c r="E31" s="62" t="s">
        <v>43</v>
      </c>
      <c r="F31" s="60" t="s">
        <v>285</v>
      </c>
      <c r="G31" s="76" t="s">
        <v>47</v>
      </c>
      <c r="H31" s="60" t="s">
        <v>287</v>
      </c>
      <c r="I31" s="62" t="s">
        <v>286</v>
      </c>
      <c r="J31" s="62" t="s">
        <v>73</v>
      </c>
      <c r="K31" s="63" t="s">
        <v>74</v>
      </c>
      <c r="L31" s="63" t="s">
        <v>75</v>
      </c>
      <c r="M31" s="63" t="s">
        <v>110</v>
      </c>
      <c r="N31" s="64" t="s">
        <v>280</v>
      </c>
      <c r="O31" s="65">
        <v>46181</v>
      </c>
      <c r="P31" s="66" t="s">
        <v>430</v>
      </c>
      <c r="Q31" s="67" t="s">
        <v>423</v>
      </c>
      <c r="R31" s="86">
        <v>46191</v>
      </c>
      <c r="S31" s="68">
        <f ca="1">IFERROR(IF(OR(P31="Contratado",P31="No corresponde atención OGTI",P31="Desistido"),"-",IF('Seguimiento OIT_Backup'!$R31="","-",NETWORKDAYS('Seguimiento OIT_Backup'!$R31,TODAY(),{"02/04/2026";"03/04/2026"}))),"-")</f>
        <v>32</v>
      </c>
      <c r="T31" s="68" t="str">
        <f ca="1">IFERROR(IF(OR(D31="-",D31="",P31="Contratado"),"-",TODAY()-'Seguimiento OIT_Backup'!$D31),"-")</f>
        <v>-</v>
      </c>
      <c r="U31" s="69" t="s">
        <v>43</v>
      </c>
      <c r="V31" s="67" t="s">
        <v>43</v>
      </c>
      <c r="W31" s="82" t="s">
        <v>43</v>
      </c>
      <c r="X31" s="82" t="s">
        <v>43</v>
      </c>
      <c r="Y31" s="63" t="s">
        <v>43</v>
      </c>
      <c r="Z31" s="70" t="s">
        <v>291</v>
      </c>
      <c r="AA31" s="63" t="s">
        <v>43</v>
      </c>
      <c r="AB31" s="61" t="s">
        <v>43</v>
      </c>
      <c r="AC31" s="68" t="str">
        <f t="shared" ca="1" si="0"/>
        <v>-</v>
      </c>
      <c r="AD31" s="71" t="str">
        <f>CONCATENATE('Seguimiento OIT_Backup'!$U31," ",'Seguimiento OIT_Backup'!$V31)</f>
        <v>- -</v>
      </c>
      <c r="AE31" s="72" t="str">
        <f t="shared" si="1"/>
        <v>-</v>
      </c>
      <c r="AF31" s="73" t="str">
        <f t="shared" si="2"/>
        <v>-</v>
      </c>
      <c r="AG31" s="63" t="s">
        <v>43</v>
      </c>
      <c r="AH31" s="82" t="s">
        <v>43</v>
      </c>
      <c r="AI31" s="82" t="s">
        <v>43</v>
      </c>
      <c r="AJ31" s="75" t="str">
        <f>IFERROR(IF(OR(AH31="-",AH31="",AI31="-",AI31=""),"-",CONCATENATE('Seguimiento OIT_Backup'!AI31-'Seguimiento OIT_Backup'!AH31+1," dias")),"-")</f>
        <v>-</v>
      </c>
      <c r="AK31" s="82" t="s">
        <v>43</v>
      </c>
      <c r="AL31" s="35"/>
      <c r="AM31" s="35"/>
    </row>
    <row r="32" spans="1:39" ht="43.9" customHeight="1">
      <c r="A32" s="37" t="s">
        <v>1180</v>
      </c>
      <c r="B32" s="61" t="s">
        <v>45</v>
      </c>
      <c r="C32" s="61" t="s">
        <v>61</v>
      </c>
      <c r="D32" s="62" t="s">
        <v>43</v>
      </c>
      <c r="E32" s="62" t="s">
        <v>1181</v>
      </c>
      <c r="F32" s="60" t="s">
        <v>293</v>
      </c>
      <c r="G32" s="76" t="s">
        <v>47</v>
      </c>
      <c r="H32" s="60" t="s">
        <v>294</v>
      </c>
      <c r="I32" s="62" t="s">
        <v>286</v>
      </c>
      <c r="J32" s="62" t="s">
        <v>73</v>
      </c>
      <c r="K32" s="63" t="s">
        <v>74</v>
      </c>
      <c r="L32" s="63" t="s">
        <v>75</v>
      </c>
      <c r="M32" s="63" t="s">
        <v>102</v>
      </c>
      <c r="N32" s="64" t="s">
        <v>280</v>
      </c>
      <c r="O32" s="65">
        <v>46181</v>
      </c>
      <c r="P32" s="66" t="s">
        <v>430</v>
      </c>
      <c r="Q32" s="67" t="s">
        <v>423</v>
      </c>
      <c r="R32" s="86">
        <v>46191</v>
      </c>
      <c r="S32" s="68">
        <f ca="1">IFERROR(IF(OR(P32="Contratado",P32="No corresponde atención OGTI",P32="Desistido"),"-",IF('Seguimiento OIT_Backup'!$R32="","-",NETWORKDAYS('Seguimiento OIT_Backup'!$R32,TODAY(),{"02/04/2026";"03/04/2026"}))),"-")</f>
        <v>32</v>
      </c>
      <c r="T32" s="68" t="str">
        <f ca="1">IFERROR(IF(OR(D32="-",D32="",P32="Contratado"),"-",TODAY()-'Seguimiento OIT_Backup'!$D32),"-")</f>
        <v>-</v>
      </c>
      <c r="U32" s="69" t="s">
        <v>43</v>
      </c>
      <c r="V32" s="67" t="s">
        <v>43</v>
      </c>
      <c r="W32" s="82" t="s">
        <v>43</v>
      </c>
      <c r="X32" s="82" t="s">
        <v>43</v>
      </c>
      <c r="Y32" s="63" t="s">
        <v>43</v>
      </c>
      <c r="Z32" s="70" t="s">
        <v>291</v>
      </c>
      <c r="AA32" s="63" t="s">
        <v>43</v>
      </c>
      <c r="AB32" s="61" t="s">
        <v>43</v>
      </c>
      <c r="AC32" s="68" t="str">
        <f t="shared" ca="1" si="0"/>
        <v>-</v>
      </c>
      <c r="AD32" s="71" t="str">
        <f>CONCATENATE('Seguimiento OIT_Backup'!$U32," ",'Seguimiento OIT_Backup'!$V32)</f>
        <v>- -</v>
      </c>
      <c r="AE32" s="72" t="str">
        <f t="shared" si="1"/>
        <v>-</v>
      </c>
      <c r="AF32" s="73" t="str">
        <f t="shared" si="2"/>
        <v>-</v>
      </c>
      <c r="AG32" s="63" t="s">
        <v>43</v>
      </c>
      <c r="AH32" s="82" t="s">
        <v>43</v>
      </c>
      <c r="AI32" s="82" t="s">
        <v>43</v>
      </c>
      <c r="AJ32" s="75" t="str">
        <f>IFERROR(IF(OR(AH32="-",AH32="",AI32="-",AI32=""),"-",CONCATENATE('Seguimiento OIT_Backup'!AI32-'Seguimiento OIT_Backup'!AH32+1," dias")),"-")</f>
        <v>-</v>
      </c>
      <c r="AK32" s="82" t="s">
        <v>43</v>
      </c>
      <c r="AL32" s="35"/>
      <c r="AM32" s="35"/>
    </row>
    <row r="33" spans="1:39" ht="43.9" customHeight="1">
      <c r="A33" s="61" t="s">
        <v>1182</v>
      </c>
      <c r="B33" s="88" t="s">
        <v>45</v>
      </c>
      <c r="C33" s="88" t="s">
        <v>43</v>
      </c>
      <c r="D33" s="83" t="s">
        <v>43</v>
      </c>
      <c r="E33" s="83" t="s">
        <v>43</v>
      </c>
      <c r="F33" s="84" t="s">
        <v>296</v>
      </c>
      <c r="G33" s="89" t="s">
        <v>69</v>
      </c>
      <c r="H33" s="84"/>
      <c r="I33" s="83" t="s">
        <v>297</v>
      </c>
      <c r="J33" s="83" t="s">
        <v>222</v>
      </c>
      <c r="K33" s="80" t="s">
        <v>223</v>
      </c>
      <c r="L33" s="80" t="s">
        <v>223</v>
      </c>
      <c r="M33" s="80" t="s">
        <v>43</v>
      </c>
      <c r="N33" s="81">
        <v>42480</v>
      </c>
      <c r="O33" s="86"/>
      <c r="P33" s="90" t="s">
        <v>882</v>
      </c>
      <c r="Q33" s="82" t="s">
        <v>43</v>
      </c>
      <c r="R33" s="83"/>
      <c r="S33" s="91" t="str">
        <f ca="1">IFERROR(IF(OR(P33="Contratado",P33="No corresponde atención OGTI",P33="Desistido"),"-",IF('Seguimiento OIT_Backup'!$R33="","-",NETWORKDAYS('Seguimiento OIT_Backup'!$R33,TODAY(),{"02/04/2026";"03/04/2026"}))),"-")</f>
        <v>-</v>
      </c>
      <c r="T33" s="91" t="str">
        <f ca="1">IFERROR(IF(OR(D33="-",D33="",P33="Contratado"),"-",TODAY()-'Seguimiento OIT_Backup'!$D33),"-")</f>
        <v>-</v>
      </c>
      <c r="U33" s="78" t="s">
        <v>224</v>
      </c>
      <c r="V33" s="82" t="s">
        <v>299</v>
      </c>
      <c r="W33" s="83">
        <v>46021</v>
      </c>
      <c r="X33" s="78" t="s">
        <v>300</v>
      </c>
      <c r="Y33" s="80" t="s">
        <v>43</v>
      </c>
      <c r="Z33" s="79" t="s">
        <v>301</v>
      </c>
      <c r="AA33" s="80" t="s">
        <v>43</v>
      </c>
      <c r="AB33" s="88" t="s">
        <v>54</v>
      </c>
      <c r="AC33" s="91" t="str">
        <f ca="1">IFERROR(IF(AB33="-","-",IF(AB33="En ejecución","Ejecutandose",IF(AB33="Ejecutado",IF(AND(AJ33="-",G33="Bienes"),"No aplica",IF(AJ33="-","Falta informacion",IF(AI33&lt;TODAY(),"Vencido","Vigente"))),"-"))),"-")</f>
        <v>Vigente</v>
      </c>
      <c r="AD33" s="92" t="str">
        <f>CONCATENATE('Seguimiento OIT_Backup'!$U33," ",'Seguimiento OIT_Backup'!$V33)</f>
        <v>Contrato 059-2025-EF/43.03</v>
      </c>
      <c r="AE33" s="93" t="str">
        <f>IF(X33="","-",X33)</f>
        <v>GDT PERÚ S.A</v>
      </c>
      <c r="AF33" s="94">
        <f>IF(OR(W33="",W33="-"),"-",W33)</f>
        <v>46021</v>
      </c>
      <c r="AG33" s="80" t="s">
        <v>223</v>
      </c>
      <c r="AH33" s="85">
        <v>46047</v>
      </c>
      <c r="AI33" s="85">
        <v>46411</v>
      </c>
      <c r="AJ33" s="95" t="str">
        <f>IFERROR(IF(OR(AH33="-",AH33="",AI33="-",AI33=""),"-",CONCATENATE('Seguimiento OIT_Backup'!AI33-'Seguimiento OIT_Backup'!AH33+1," dias")),"-")</f>
        <v>365 dias</v>
      </c>
      <c r="AK33" s="80"/>
      <c r="AL33" s="35"/>
      <c r="AM33" s="35"/>
    </row>
    <row r="34" spans="1:39" ht="43.9" customHeight="1">
      <c r="A34" s="37" t="s">
        <v>1183</v>
      </c>
      <c r="B34" s="61" t="s">
        <v>45</v>
      </c>
      <c r="C34" s="61" t="s">
        <v>61</v>
      </c>
      <c r="D34" s="62" t="s">
        <v>43</v>
      </c>
      <c r="E34" s="62" t="s">
        <v>43</v>
      </c>
      <c r="F34" s="60" t="s">
        <v>303</v>
      </c>
      <c r="G34" s="76" t="s">
        <v>47</v>
      </c>
      <c r="H34" s="60" t="s">
        <v>305</v>
      </c>
      <c r="I34" s="62" t="s">
        <v>304</v>
      </c>
      <c r="J34" s="62" t="s">
        <v>73</v>
      </c>
      <c r="K34" s="63" t="s">
        <v>74</v>
      </c>
      <c r="L34" s="63" t="s">
        <v>75</v>
      </c>
      <c r="M34" s="63" t="s">
        <v>94</v>
      </c>
      <c r="N34" s="64" t="s">
        <v>280</v>
      </c>
      <c r="O34" s="65">
        <v>46185</v>
      </c>
      <c r="P34" s="66" t="s">
        <v>430</v>
      </c>
      <c r="Q34" s="67" t="s">
        <v>423</v>
      </c>
      <c r="R34" s="86">
        <v>46191</v>
      </c>
      <c r="S34" s="68">
        <f ca="1">IFERROR(IF(OR(P34="Contratado",P34="No corresponde atención OGTI",P34="Desistido"),"-",IF('Seguimiento OIT_Backup'!$R34="","-",NETWORKDAYS('Seguimiento OIT_Backup'!$R34,TODAY(),{"02/04/2026";"03/04/2026"}))),"-")</f>
        <v>32</v>
      </c>
      <c r="T34" s="68" t="str">
        <f ca="1">IFERROR(IF(OR(D34="-",D34="",P34="Contratado"),"-",TODAY()-'Seguimiento OIT_Backup'!$D34),"-")</f>
        <v>-</v>
      </c>
      <c r="U34" s="69" t="s">
        <v>43</v>
      </c>
      <c r="V34" s="67" t="s">
        <v>43</v>
      </c>
      <c r="W34" s="82" t="s">
        <v>43</v>
      </c>
      <c r="X34" s="82" t="s">
        <v>43</v>
      </c>
      <c r="Y34" s="63" t="s">
        <v>43</v>
      </c>
      <c r="Z34" s="70" t="s">
        <v>310</v>
      </c>
      <c r="AA34" s="63" t="s">
        <v>43</v>
      </c>
      <c r="AB34" s="61" t="s">
        <v>43</v>
      </c>
      <c r="AC34" s="68" t="str">
        <f t="shared" ca="1" si="0"/>
        <v>-</v>
      </c>
      <c r="AD34" s="71" t="str">
        <f>CONCATENATE('Seguimiento OIT_Backup'!$U34," ",'Seguimiento OIT_Backup'!$V34)</f>
        <v>- -</v>
      </c>
      <c r="AE34" s="72" t="str">
        <f t="shared" si="1"/>
        <v>-</v>
      </c>
      <c r="AF34" s="73" t="str">
        <f t="shared" si="2"/>
        <v>-</v>
      </c>
      <c r="AG34" s="63" t="s">
        <v>43</v>
      </c>
      <c r="AH34" s="82" t="s">
        <v>43</v>
      </c>
      <c r="AI34" s="82" t="s">
        <v>43</v>
      </c>
      <c r="AJ34" s="75" t="str">
        <f>IFERROR(IF(OR(AH34="-",AH34="",AI34="-",AI34=""),"-",CONCATENATE('Seguimiento OIT_Backup'!AI34-'Seguimiento OIT_Backup'!AH34+1," dias")),"-")</f>
        <v>-</v>
      </c>
      <c r="AK34" s="82" t="s">
        <v>43</v>
      </c>
      <c r="AL34" s="35"/>
      <c r="AM34" s="35"/>
    </row>
    <row r="35" spans="1:39" ht="43.9" customHeight="1">
      <c r="A35" s="37" t="s">
        <v>1184</v>
      </c>
      <c r="B35" s="61" t="s">
        <v>45</v>
      </c>
      <c r="C35" s="61" t="s">
        <v>61</v>
      </c>
      <c r="D35" s="62" t="s">
        <v>43</v>
      </c>
      <c r="E35" s="62" t="s">
        <v>43</v>
      </c>
      <c r="F35" s="60" t="s">
        <v>312</v>
      </c>
      <c r="G35" s="76" t="s">
        <v>47</v>
      </c>
      <c r="H35" s="60" t="s">
        <v>313</v>
      </c>
      <c r="I35" s="62" t="s">
        <v>278</v>
      </c>
      <c r="J35" s="62" t="s">
        <v>73</v>
      </c>
      <c r="K35" s="63" t="s">
        <v>74</v>
      </c>
      <c r="L35" s="63" t="s">
        <v>75</v>
      </c>
      <c r="M35" s="63" t="s">
        <v>137</v>
      </c>
      <c r="N35" s="64" t="s">
        <v>43</v>
      </c>
      <c r="O35" s="65">
        <v>46127</v>
      </c>
      <c r="P35" s="66" t="s">
        <v>314</v>
      </c>
      <c r="Q35" s="67" t="s">
        <v>270</v>
      </c>
      <c r="R35" s="86">
        <v>46162</v>
      </c>
      <c r="S35" s="68" t="str">
        <f ca="1">IFERROR(IF(OR(P35="Contratado",P35="No corresponde atención OGTI",P35="Desistido"),"-",IF('Seguimiento OIT_Backup'!$R35="","-",NETWORKDAYS('Seguimiento OIT_Backup'!$R35,TODAY(),{"02/04/2026";"03/04/2026"}))),"-")</f>
        <v>-</v>
      </c>
      <c r="T35" s="68" t="str">
        <f ca="1">IFERROR(IF(OR(D35="-",D35="",P35="Contratado"),"-",TODAY()-'Seguimiento OIT_Backup'!$D35),"-")</f>
        <v>-</v>
      </c>
      <c r="U35" s="69" t="s">
        <v>43</v>
      </c>
      <c r="V35" s="67" t="s">
        <v>43</v>
      </c>
      <c r="W35" s="82" t="s">
        <v>43</v>
      </c>
      <c r="X35" s="82" t="s">
        <v>43</v>
      </c>
      <c r="Y35" s="63" t="s">
        <v>315</v>
      </c>
      <c r="Z35" s="70" t="s">
        <v>316</v>
      </c>
      <c r="AA35" s="63" t="s">
        <v>43</v>
      </c>
      <c r="AB35" s="61" t="s">
        <v>262</v>
      </c>
      <c r="AC35" s="68" t="str">
        <f t="shared" ca="1" si="0"/>
        <v>-</v>
      </c>
      <c r="AD35" s="71" t="str">
        <f>CONCATENATE('Seguimiento OIT_Backup'!$U35," ",'Seguimiento OIT_Backup'!$V35)</f>
        <v>- -</v>
      </c>
      <c r="AE35" s="72" t="str">
        <f t="shared" si="1"/>
        <v>-</v>
      </c>
      <c r="AF35" s="73" t="str">
        <f t="shared" si="2"/>
        <v>-</v>
      </c>
      <c r="AG35" s="63" t="s">
        <v>43</v>
      </c>
      <c r="AH35" s="82" t="s">
        <v>43</v>
      </c>
      <c r="AI35" s="82" t="s">
        <v>43</v>
      </c>
      <c r="AJ35" s="75" t="str">
        <f>IFERROR(IF(OR(AH35="-",AH35="",AI35="-",AI35=""),"-",CONCATENATE('Seguimiento OIT_Backup'!AI35-'Seguimiento OIT_Backup'!AH35+1," dias")),"-")</f>
        <v>-</v>
      </c>
      <c r="AK35" s="82" t="s">
        <v>43</v>
      </c>
      <c r="AL35" s="35"/>
      <c r="AM35" s="35"/>
    </row>
    <row r="36" spans="1:39" ht="43.9" customHeight="1">
      <c r="A36" s="37" t="s">
        <v>1185</v>
      </c>
      <c r="B36" s="88" t="s">
        <v>45</v>
      </c>
      <c r="C36" s="88" t="s">
        <v>61</v>
      </c>
      <c r="D36" s="83" t="s">
        <v>43</v>
      </c>
      <c r="E36" s="83" t="s">
        <v>43</v>
      </c>
      <c r="F36" s="84" t="s">
        <v>318</v>
      </c>
      <c r="G36" s="89" t="s">
        <v>69</v>
      </c>
      <c r="H36" s="84" t="s">
        <v>320</v>
      </c>
      <c r="I36" s="83" t="s">
        <v>319</v>
      </c>
      <c r="J36" s="83" t="s">
        <v>222</v>
      </c>
      <c r="K36" s="80" t="s">
        <v>223</v>
      </c>
      <c r="L36" s="80" t="s">
        <v>120</v>
      </c>
      <c r="M36" s="80" t="s">
        <v>196</v>
      </c>
      <c r="N36" s="81" t="s">
        <v>43</v>
      </c>
      <c r="O36" s="86">
        <v>46104</v>
      </c>
      <c r="P36" s="90" t="s">
        <v>314</v>
      </c>
      <c r="Q36" s="82" t="s">
        <v>270</v>
      </c>
      <c r="R36" s="86">
        <v>46134</v>
      </c>
      <c r="S36" s="91" t="str">
        <f ca="1">IFERROR(IF(OR(P36="Contratado",P36="No corresponde atención OGTI",P36="Desistido"),"-",IF('Seguimiento OIT_Backup'!$R36="","-",NETWORKDAYS('Seguimiento OIT_Backup'!$R36,TODAY(),{"02/04/2026";"03/04/2026"}))),"-")</f>
        <v>-</v>
      </c>
      <c r="T36" s="91" t="str">
        <f ca="1">IFERROR(IF(OR(D36="-",D36="",P36="Contratado"),"-",TODAY()-'Seguimiento OIT_Backup'!$D36),"-")</f>
        <v>-</v>
      </c>
      <c r="U36" s="78" t="s">
        <v>43</v>
      </c>
      <c r="V36" s="82" t="s">
        <v>43</v>
      </c>
      <c r="W36" s="82" t="s">
        <v>43</v>
      </c>
      <c r="X36" s="82" t="s">
        <v>43</v>
      </c>
      <c r="Y36" s="80" t="s">
        <v>321</v>
      </c>
      <c r="Z36" s="82" t="s">
        <v>43</v>
      </c>
      <c r="AA36" s="80" t="s">
        <v>43</v>
      </c>
      <c r="AB36" s="88" t="s">
        <v>262</v>
      </c>
      <c r="AC36" s="91" t="str">
        <f t="shared" ref="AC36:AC83" ca="1" si="3">IFERROR(IF(AB36="-","-",IF(AB36="En ejecución","Ejecutandose",IF(AB36="Ejecutado",IF(AND(AJ36="-",G36="Bienes"),"No aplica",IF(AJ36="-","Falta informacion",IF(AI36&lt;TODAY(),"Vencido","Vigente"))),"-"))),"-")</f>
        <v>-</v>
      </c>
      <c r="AD36" s="92" t="str">
        <f>CONCATENATE('Seguimiento OIT_Backup'!$U36," ",'Seguimiento OIT_Backup'!$V36)</f>
        <v>- -</v>
      </c>
      <c r="AE36" s="93" t="str">
        <f t="shared" ref="AE36:AE83" si="4">IF(X36="","-",X36)</f>
        <v>-</v>
      </c>
      <c r="AF36" s="94" t="str">
        <f t="shared" ref="AF36:AF83" si="5">IF(OR(W36="",W36="-"),"-",W36)</f>
        <v>-</v>
      </c>
      <c r="AG36" s="80" t="s">
        <v>43</v>
      </c>
      <c r="AH36" s="82" t="s">
        <v>43</v>
      </c>
      <c r="AI36" s="82" t="s">
        <v>43</v>
      </c>
      <c r="AJ36" s="95" t="str">
        <f>IFERROR(IF(OR(AH36="-",AH36="",AI36="-",AI36=""),"-",CONCATENATE('Seguimiento OIT_Backup'!AI36-'Seguimiento OIT_Backup'!AH36+1," dias")),"-")</f>
        <v>-</v>
      </c>
      <c r="AK36" s="82" t="s">
        <v>43</v>
      </c>
      <c r="AL36" s="35"/>
      <c r="AM36" s="35"/>
    </row>
    <row r="37" spans="1:39" ht="43.9" customHeight="1">
      <c r="A37" s="37" t="s">
        <v>1186</v>
      </c>
      <c r="B37" s="88" t="s">
        <v>45</v>
      </c>
      <c r="C37" s="88" t="s">
        <v>61</v>
      </c>
      <c r="D37" s="83" t="s">
        <v>43</v>
      </c>
      <c r="E37" s="83" t="s">
        <v>43</v>
      </c>
      <c r="F37" s="84" t="s">
        <v>323</v>
      </c>
      <c r="G37" s="89" t="s">
        <v>47</v>
      </c>
      <c r="H37" s="84" t="s">
        <v>325</v>
      </c>
      <c r="I37" s="83" t="s">
        <v>324</v>
      </c>
      <c r="J37" s="83" t="s">
        <v>73</v>
      </c>
      <c r="K37" s="80" t="s">
        <v>74</v>
      </c>
      <c r="L37" s="80" t="s">
        <v>75</v>
      </c>
      <c r="M37" s="80" t="s">
        <v>326</v>
      </c>
      <c r="N37" s="81" t="s">
        <v>43</v>
      </c>
      <c r="O37" s="86">
        <v>46136</v>
      </c>
      <c r="P37" s="90" t="s">
        <v>314</v>
      </c>
      <c r="Q37" s="82" t="s">
        <v>327</v>
      </c>
      <c r="R37" s="86">
        <v>46142</v>
      </c>
      <c r="S37" s="91" t="str">
        <f ca="1">IFERROR(IF(OR(P37="Contratado",P37="No corresponde atención OGTI",P37="Desistido"),"-",IF('Seguimiento OIT_Backup'!$R37="","-",NETWORKDAYS('Seguimiento OIT_Backup'!$R37,TODAY(),{"02/04/2026";"03/04/2026"}))),"-")</f>
        <v>-</v>
      </c>
      <c r="T37" s="91" t="str">
        <f ca="1">IFERROR(IF(OR(D37="-",D37="",P37="Contratado"),"-",TODAY()-'Seguimiento OIT_Backup'!$D37),"-")</f>
        <v>-</v>
      </c>
      <c r="U37" s="78" t="s">
        <v>43</v>
      </c>
      <c r="V37" s="82" t="s">
        <v>43</v>
      </c>
      <c r="W37" s="82" t="s">
        <v>43</v>
      </c>
      <c r="X37" s="82" t="s">
        <v>43</v>
      </c>
      <c r="Y37" s="80" t="s">
        <v>328</v>
      </c>
      <c r="Z37" s="79" t="s">
        <v>329</v>
      </c>
      <c r="AA37" s="80" t="s">
        <v>43</v>
      </c>
      <c r="AB37" s="88" t="s">
        <v>262</v>
      </c>
      <c r="AC37" s="91" t="str">
        <f t="shared" ca="1" si="3"/>
        <v>-</v>
      </c>
      <c r="AD37" s="92" t="str">
        <f>CONCATENATE('Seguimiento OIT_Backup'!$U37," ",'Seguimiento OIT_Backup'!$V37)</f>
        <v>- -</v>
      </c>
      <c r="AE37" s="93" t="str">
        <f t="shared" si="4"/>
        <v>-</v>
      </c>
      <c r="AF37" s="94" t="str">
        <f t="shared" si="5"/>
        <v>-</v>
      </c>
      <c r="AG37" s="80" t="s">
        <v>43</v>
      </c>
      <c r="AH37" s="82" t="s">
        <v>43</v>
      </c>
      <c r="AI37" s="82" t="s">
        <v>43</v>
      </c>
      <c r="AJ37" s="95" t="str">
        <f>IFERROR(IF(OR(AH37="-",AH37="",AI37="-",AI37=""),"-",CONCATENATE('Seguimiento OIT_Backup'!AI37-'Seguimiento OIT_Backup'!AH37+1," dias")),"-")</f>
        <v>-</v>
      </c>
      <c r="AK37" s="82" t="s">
        <v>43</v>
      </c>
      <c r="AL37" s="35"/>
      <c r="AM37" s="35"/>
    </row>
    <row r="38" spans="1:39" ht="43.9" customHeight="1">
      <c r="A38" s="37" t="s">
        <v>1187</v>
      </c>
      <c r="B38" s="88" t="s">
        <v>45</v>
      </c>
      <c r="C38" s="88" t="s">
        <v>61</v>
      </c>
      <c r="D38" s="83" t="s">
        <v>43</v>
      </c>
      <c r="E38" s="83" t="s">
        <v>43</v>
      </c>
      <c r="F38" s="84" t="s">
        <v>974</v>
      </c>
      <c r="G38" s="89" t="s">
        <v>69</v>
      </c>
      <c r="H38" s="84" t="s">
        <v>333</v>
      </c>
      <c r="I38" s="83" t="s">
        <v>332</v>
      </c>
      <c r="J38" s="83" t="s">
        <v>119</v>
      </c>
      <c r="K38" s="80" t="s">
        <v>120</v>
      </c>
      <c r="L38" s="80" t="s">
        <v>120</v>
      </c>
      <c r="M38" s="80" t="s">
        <v>130</v>
      </c>
      <c r="N38" s="81">
        <v>25500</v>
      </c>
      <c r="O38" s="86">
        <v>46153</v>
      </c>
      <c r="P38" s="90" t="s">
        <v>882</v>
      </c>
      <c r="Q38" s="82" t="s">
        <v>423</v>
      </c>
      <c r="R38" s="86">
        <v>46183</v>
      </c>
      <c r="S38" s="91" t="str">
        <f ca="1">IFERROR(IF(OR(P38="Contratado",P38="No corresponde atención OGTI",P38="Desistido"),"-",IF('Seguimiento OIT_Backup'!$R38="","-",NETWORKDAYS('Seguimiento OIT_Backup'!$R38,TODAY(),{"02/04/2026";"03/04/2026"}))),"-")</f>
        <v>-</v>
      </c>
      <c r="T38" s="91" t="str">
        <f ca="1">IFERROR(IF(OR(D38="-",D38="",P38="Contratado"),"-",TODAY()-'Seguimiento OIT_Backup'!$D38),"-")</f>
        <v>-</v>
      </c>
      <c r="U38" s="78" t="s">
        <v>224</v>
      </c>
      <c r="V38" s="82" t="s">
        <v>334</v>
      </c>
      <c r="W38" s="83">
        <v>46181</v>
      </c>
      <c r="X38" s="78" t="s">
        <v>335</v>
      </c>
      <c r="Y38" s="80" t="s">
        <v>43</v>
      </c>
      <c r="Z38" s="79" t="s">
        <v>337</v>
      </c>
      <c r="AA38" s="80" t="s">
        <v>43</v>
      </c>
      <c r="AB38" s="88" t="s">
        <v>815</v>
      </c>
      <c r="AC38" s="91" t="str">
        <f t="shared" ca="1" si="3"/>
        <v>Ejecutandose</v>
      </c>
      <c r="AD38" s="92" t="str">
        <f>CONCATENATE('Seguimiento OIT_Backup'!$U38," ",'Seguimiento OIT_Backup'!$V38)</f>
        <v>Contrato 012-2026-EF/43.03/CM</v>
      </c>
      <c r="AE38" s="93" t="str">
        <f t="shared" si="4"/>
        <v>Informatica y proyectos E.I.R.L</v>
      </c>
      <c r="AF38" s="94">
        <f t="shared" si="5"/>
        <v>46181</v>
      </c>
      <c r="AG38" s="80" t="s">
        <v>120</v>
      </c>
      <c r="AH38" s="82" t="s">
        <v>43</v>
      </c>
      <c r="AI38" s="82" t="s">
        <v>43</v>
      </c>
      <c r="AJ38" s="95" t="str">
        <f>IFERROR(IF(OR(AH38="-",AH38="",AI38="-",AI38=""),"-",CONCATENATE('Seguimiento OIT_Backup'!AI38-'Seguimiento OIT_Backup'!AH38+1," dias")),"-")</f>
        <v>-</v>
      </c>
      <c r="AK38" s="80" t="s">
        <v>336</v>
      </c>
      <c r="AL38" s="35"/>
      <c r="AM38" s="35"/>
    </row>
    <row r="39" spans="1:39" ht="43.9" customHeight="1">
      <c r="A39" s="37" t="s">
        <v>1188</v>
      </c>
      <c r="B39" s="88" t="s">
        <v>45</v>
      </c>
      <c r="C39" s="88" t="s">
        <v>61</v>
      </c>
      <c r="D39" s="83" t="s">
        <v>43</v>
      </c>
      <c r="E39" s="83" t="s">
        <v>43</v>
      </c>
      <c r="F39" s="84" t="s">
        <v>339</v>
      </c>
      <c r="G39" s="89" t="s">
        <v>47</v>
      </c>
      <c r="H39" s="84" t="s">
        <v>341</v>
      </c>
      <c r="I39" s="83" t="s">
        <v>340</v>
      </c>
      <c r="J39" s="83" t="s">
        <v>73</v>
      </c>
      <c r="K39" s="80" t="s">
        <v>74</v>
      </c>
      <c r="L39" s="80" t="s">
        <v>75</v>
      </c>
      <c r="M39" s="80" t="s">
        <v>110</v>
      </c>
      <c r="N39" s="81">
        <v>21830</v>
      </c>
      <c r="O39" s="86">
        <v>46139</v>
      </c>
      <c r="P39" s="90" t="s">
        <v>882</v>
      </c>
      <c r="Q39" s="82" t="s">
        <v>423</v>
      </c>
      <c r="R39" s="86">
        <v>46174</v>
      </c>
      <c r="S39" s="91" t="str">
        <f ca="1">IFERROR(IF(OR(P39="Contratado",P39="No corresponde atención OGTI",P39="Desistido"),"-",IF('Seguimiento OIT_Backup'!$R39="","-",NETWORKDAYS('Seguimiento OIT_Backup'!$R39,TODAY(),{"02/04/2026";"03/04/2026"}))),"-")</f>
        <v>-</v>
      </c>
      <c r="T39" s="91" t="str">
        <f ca="1">IFERROR(IF(OR(D39="-",D39="",P39="Contratado"),"-",TODAY()-'Seguimiento OIT_Backup'!$D39),"-")</f>
        <v>-</v>
      </c>
      <c r="U39" s="78" t="s">
        <v>55</v>
      </c>
      <c r="V39" s="82" t="s">
        <v>342</v>
      </c>
      <c r="W39" s="83">
        <v>46174</v>
      </c>
      <c r="X39" s="78" t="s">
        <v>343</v>
      </c>
      <c r="Y39" s="80" t="s">
        <v>43</v>
      </c>
      <c r="Z39" s="79" t="s">
        <v>345</v>
      </c>
      <c r="AA39" s="80" t="s">
        <v>43</v>
      </c>
      <c r="AB39" s="88" t="s">
        <v>815</v>
      </c>
      <c r="AC39" s="91" t="str">
        <f t="shared" ca="1" si="3"/>
        <v>Ejecutandose</v>
      </c>
      <c r="AD39" s="92" t="str">
        <f>CONCATENATE('Seguimiento OIT_Backup'!$U39," ",'Seguimiento OIT_Backup'!$V39)</f>
        <v>Orden de Compra 0000176-2026</v>
      </c>
      <c r="AE39" s="93" t="str">
        <f t="shared" si="4"/>
        <v>BISSNETCORP S.A.C.</v>
      </c>
      <c r="AF39" s="94">
        <f t="shared" si="5"/>
        <v>46174</v>
      </c>
      <c r="AG39" s="80" t="s">
        <v>74</v>
      </c>
      <c r="AH39" s="82" t="s">
        <v>43</v>
      </c>
      <c r="AI39" s="82" t="s">
        <v>43</v>
      </c>
      <c r="AJ39" s="95" t="str">
        <f>IFERROR(IF(OR(AH39="-",AH39="",AI39="-",AI39=""),"-",CONCATENATE('Seguimiento OIT_Backup'!AI39-'Seguimiento OIT_Backup'!AH39+1," dias")),"-")</f>
        <v>-</v>
      </c>
      <c r="AK39" s="80" t="s">
        <v>1189</v>
      </c>
      <c r="AL39" s="35"/>
      <c r="AM39" s="35"/>
    </row>
    <row r="40" spans="1:39" ht="43.9" customHeight="1">
      <c r="A40" s="37" t="s">
        <v>1190</v>
      </c>
      <c r="B40" s="88" t="s">
        <v>45</v>
      </c>
      <c r="C40" s="88" t="s">
        <v>61</v>
      </c>
      <c r="D40" s="83" t="s">
        <v>43</v>
      </c>
      <c r="E40" s="83" t="s">
        <v>43</v>
      </c>
      <c r="F40" s="84" t="s">
        <v>347</v>
      </c>
      <c r="G40" s="89" t="s">
        <v>47</v>
      </c>
      <c r="H40" s="84" t="s">
        <v>341</v>
      </c>
      <c r="I40" s="83" t="s">
        <v>340</v>
      </c>
      <c r="J40" s="83" t="s">
        <v>73</v>
      </c>
      <c r="K40" s="80" t="s">
        <v>74</v>
      </c>
      <c r="L40" s="80" t="s">
        <v>75</v>
      </c>
      <c r="M40" s="80" t="s">
        <v>102</v>
      </c>
      <c r="N40" s="81">
        <v>21830</v>
      </c>
      <c r="O40" s="86">
        <v>46139</v>
      </c>
      <c r="P40" s="90" t="s">
        <v>882</v>
      </c>
      <c r="Q40" s="82" t="s">
        <v>423</v>
      </c>
      <c r="R40" s="86">
        <v>46174</v>
      </c>
      <c r="S40" s="91" t="str">
        <f ca="1">IFERROR(IF(OR(P40="Contratado",P40="No corresponde atención OGTI",P40="Desistido"),"-",IF('Seguimiento OIT_Backup'!$R40="","-",NETWORKDAYS('Seguimiento OIT_Backup'!$R40,TODAY(),{"02/04/2026";"03/04/2026"}))),"-")</f>
        <v>-</v>
      </c>
      <c r="T40" s="91" t="str">
        <f ca="1">IFERROR(IF(OR(D40="-",D40="",P40="Contratado"),"-",TODAY()-'Seguimiento OIT_Backup'!$D40),"-")</f>
        <v>-</v>
      </c>
      <c r="U40" s="78" t="s">
        <v>55</v>
      </c>
      <c r="V40" s="82" t="s">
        <v>342</v>
      </c>
      <c r="W40" s="83">
        <v>46174</v>
      </c>
      <c r="X40" s="78" t="s">
        <v>343</v>
      </c>
      <c r="Y40" s="80" t="s">
        <v>43</v>
      </c>
      <c r="Z40" s="79" t="s">
        <v>345</v>
      </c>
      <c r="AA40" s="80" t="s">
        <v>43</v>
      </c>
      <c r="AB40" s="88" t="s">
        <v>815</v>
      </c>
      <c r="AC40" s="91" t="str">
        <f t="shared" ca="1" si="3"/>
        <v>Ejecutandose</v>
      </c>
      <c r="AD40" s="92" t="str">
        <f>CONCATENATE('Seguimiento OIT_Backup'!$U40," ",'Seguimiento OIT_Backup'!$V40)</f>
        <v>Orden de Compra 0000176-2026</v>
      </c>
      <c r="AE40" s="93" t="str">
        <f t="shared" si="4"/>
        <v>BISSNETCORP S.A.C.</v>
      </c>
      <c r="AF40" s="94">
        <f t="shared" si="5"/>
        <v>46174</v>
      </c>
      <c r="AG40" s="80" t="s">
        <v>74</v>
      </c>
      <c r="AH40" s="82" t="s">
        <v>43</v>
      </c>
      <c r="AI40" s="82" t="s">
        <v>43</v>
      </c>
      <c r="AJ40" s="95" t="str">
        <f>IFERROR(IF(OR(AH40="-",AH40="",AI40="-",AI40=""),"-",CONCATENATE('Seguimiento OIT_Backup'!AI40-'Seguimiento OIT_Backup'!AH40+1," dias")),"-")</f>
        <v>-</v>
      </c>
      <c r="AK40" s="80" t="s">
        <v>1191</v>
      </c>
      <c r="AL40" s="35"/>
      <c r="AM40" s="35"/>
    </row>
    <row r="41" spans="1:39" ht="43.9" customHeight="1">
      <c r="A41" s="88" t="s">
        <v>1192</v>
      </c>
      <c r="B41" s="61" t="s">
        <v>349</v>
      </c>
      <c r="C41" s="61" t="s">
        <v>46</v>
      </c>
      <c r="D41" s="62" t="s">
        <v>43</v>
      </c>
      <c r="E41" s="62" t="s">
        <v>43</v>
      </c>
      <c r="F41" s="60" t="s">
        <v>350</v>
      </c>
      <c r="G41" s="76" t="s">
        <v>69</v>
      </c>
      <c r="H41" s="60" t="s">
        <v>351</v>
      </c>
      <c r="I41" s="62"/>
      <c r="J41" s="62" t="s">
        <v>222</v>
      </c>
      <c r="K41" s="63" t="s">
        <v>223</v>
      </c>
      <c r="L41" s="63" t="s">
        <v>223</v>
      </c>
      <c r="M41" s="63" t="s">
        <v>196</v>
      </c>
      <c r="N41" s="64">
        <v>474624</v>
      </c>
      <c r="O41" s="65" t="s">
        <v>43</v>
      </c>
      <c r="P41" s="66" t="s">
        <v>882</v>
      </c>
      <c r="Q41" s="67" t="s">
        <v>43</v>
      </c>
      <c r="R41" s="62"/>
      <c r="S41" s="68" t="str">
        <f ca="1">IFERROR(IF(OR(P41="Contratado",P41="No corresponde atención OGTI",P41="Desistido"),"-",IF('Seguimiento OIT_Backup'!$R41="","-",NETWORKDAYS('Seguimiento OIT_Backup'!$R41,TODAY(),{"02/04/2026";"03/04/2026"}))),"-")</f>
        <v>-</v>
      </c>
      <c r="T41" s="68" t="str">
        <f ca="1">IFERROR(IF(OR(D41="-",D41="",P41="Contratado"),"-",TODAY()-'Seguimiento OIT_Backup'!$D41),"-")</f>
        <v>-</v>
      </c>
      <c r="U41" s="69" t="s">
        <v>224</v>
      </c>
      <c r="V41" s="67" t="s">
        <v>352</v>
      </c>
      <c r="W41" s="62">
        <v>46050</v>
      </c>
      <c r="X41" s="69" t="s">
        <v>353</v>
      </c>
      <c r="Y41" s="63" t="s">
        <v>43</v>
      </c>
      <c r="Z41" s="70" t="s">
        <v>355</v>
      </c>
      <c r="AA41" s="63" t="s">
        <v>43</v>
      </c>
      <c r="AB41" s="61" t="s">
        <v>54</v>
      </c>
      <c r="AC41" s="68" t="str">
        <f t="shared" ca="1" si="3"/>
        <v>Vigente</v>
      </c>
      <c r="AD41" s="71" t="str">
        <f>CONCATENATE('Seguimiento OIT_Backup'!$U41," ",'Seguimiento OIT_Backup'!$V41)</f>
        <v>Contrato 005-2026-EF/43.03</v>
      </c>
      <c r="AE41" s="72" t="str">
        <f t="shared" si="4"/>
        <v>SMART GLOBAL SOCIEDAD ANÓNIMA
CERRADA</v>
      </c>
      <c r="AF41" s="73">
        <f t="shared" si="5"/>
        <v>46050</v>
      </c>
      <c r="AG41" s="63" t="s">
        <v>223</v>
      </c>
      <c r="AH41" s="74">
        <v>46052</v>
      </c>
      <c r="AI41" s="74">
        <v>46416</v>
      </c>
      <c r="AJ41" s="75" t="str">
        <f>IFERROR(IF(OR(AH41="-",AH41="",AI41="-",AI41=""),"-",CONCATENATE('Seguimiento OIT_Backup'!AI41-'Seguimiento OIT_Backup'!AH41+1," dias")),"-")</f>
        <v>365 dias</v>
      </c>
      <c r="AK41" s="63" t="s">
        <v>354</v>
      </c>
      <c r="AL41" s="35"/>
      <c r="AM41" s="35"/>
    </row>
    <row r="42" spans="1:39" ht="43.9" customHeight="1">
      <c r="A42" s="88" t="s">
        <v>1193</v>
      </c>
      <c r="B42" s="88" t="s">
        <v>45</v>
      </c>
      <c r="C42" s="88" t="s">
        <v>43</v>
      </c>
      <c r="D42" s="83" t="s">
        <v>43</v>
      </c>
      <c r="E42" s="83" t="s">
        <v>43</v>
      </c>
      <c r="F42" s="84" t="s">
        <v>357</v>
      </c>
      <c r="G42" s="89" t="s">
        <v>69</v>
      </c>
      <c r="H42" s="84"/>
      <c r="I42" s="83" t="s">
        <v>358</v>
      </c>
      <c r="J42" s="83" t="s">
        <v>222</v>
      </c>
      <c r="K42" s="80" t="s">
        <v>223</v>
      </c>
      <c r="L42" s="80" t="s">
        <v>223</v>
      </c>
      <c r="M42" s="80" t="s">
        <v>43</v>
      </c>
      <c r="N42" s="81">
        <v>3176</v>
      </c>
      <c r="O42" s="86"/>
      <c r="P42" s="90" t="s">
        <v>882</v>
      </c>
      <c r="Q42" s="82" t="s">
        <v>43</v>
      </c>
      <c r="R42" s="83"/>
      <c r="S42" s="91" t="str">
        <f ca="1">IFERROR(IF(OR(P42="Contratado",P42="No corresponde atención OGTI",P42="Desistido"),"-",IF('Seguimiento OIT_Backup'!$R42="","-",NETWORKDAYS('Seguimiento OIT_Backup'!$R42,TODAY(),{"02/04/2026";"03/04/2026"}))),"-")</f>
        <v>-</v>
      </c>
      <c r="T42" s="91" t="str">
        <f ca="1">IFERROR(IF(OR(D42="-",D42="",P42="Contratado"),"-",TODAY()-'Seguimiento OIT_Backup'!$D42),"-")</f>
        <v>-</v>
      </c>
      <c r="U42" s="78" t="s">
        <v>43</v>
      </c>
      <c r="V42" s="82"/>
      <c r="W42" s="83">
        <v>46009</v>
      </c>
      <c r="X42" s="78" t="s">
        <v>189</v>
      </c>
      <c r="Y42" s="80" t="s">
        <v>43</v>
      </c>
      <c r="Z42" s="79"/>
      <c r="AA42" s="80" t="s">
        <v>43</v>
      </c>
      <c r="AB42" s="88" t="s">
        <v>54</v>
      </c>
      <c r="AC42" s="91" t="str">
        <f t="shared" ca="1" si="3"/>
        <v>Vigente</v>
      </c>
      <c r="AD42" s="92" t="str">
        <f>CONCATENATE('Seguimiento OIT_Backup'!$U42," ",'Seguimiento OIT_Backup'!$V42)</f>
        <v xml:space="preserve">- </v>
      </c>
      <c r="AE42" s="93" t="str">
        <f t="shared" si="4"/>
        <v>ENTEL PERU S.A.</v>
      </c>
      <c r="AF42" s="94">
        <f t="shared" si="5"/>
        <v>46009</v>
      </c>
      <c r="AG42" s="80" t="s">
        <v>223</v>
      </c>
      <c r="AH42" s="85">
        <v>46037</v>
      </c>
      <c r="AI42" s="85">
        <v>46401</v>
      </c>
      <c r="AJ42" s="95" t="str">
        <f>IFERROR(IF(OR(AH42="-",AH42="",AI42="-",AI42=""),"-",CONCATENATE('Seguimiento OIT_Backup'!AI42-'Seguimiento OIT_Backup'!AH42+1," dias")),"-")</f>
        <v>365 dias</v>
      </c>
      <c r="AK42" s="80" t="s">
        <v>360</v>
      </c>
      <c r="AL42" s="35"/>
      <c r="AM42" s="35"/>
    </row>
    <row r="43" spans="1:39" ht="43.9" customHeight="1">
      <c r="A43" s="88" t="s">
        <v>1194</v>
      </c>
      <c r="B43" s="88" t="s">
        <v>45</v>
      </c>
      <c r="C43" s="88" t="s">
        <v>43</v>
      </c>
      <c r="D43" s="83" t="s">
        <v>43</v>
      </c>
      <c r="E43" s="83" t="s">
        <v>43</v>
      </c>
      <c r="F43" s="84" t="s">
        <v>362</v>
      </c>
      <c r="G43" s="89" t="s">
        <v>69</v>
      </c>
      <c r="H43" s="84"/>
      <c r="I43" s="83" t="s">
        <v>363</v>
      </c>
      <c r="J43" s="83" t="s">
        <v>222</v>
      </c>
      <c r="K43" s="80" t="s">
        <v>223</v>
      </c>
      <c r="L43" s="80" t="s">
        <v>223</v>
      </c>
      <c r="M43" s="80" t="s">
        <v>43</v>
      </c>
      <c r="N43" s="81">
        <v>42700</v>
      </c>
      <c r="O43" s="86"/>
      <c r="P43" s="90" t="s">
        <v>882</v>
      </c>
      <c r="Q43" s="82" t="s">
        <v>43</v>
      </c>
      <c r="R43" s="83"/>
      <c r="S43" s="91" t="str">
        <f ca="1">IFERROR(IF(OR(P43="Contratado",P43="No corresponde atención OGTI",P43="Desistido"),"-",IF('Seguimiento OIT_Backup'!$R43="","-",NETWORKDAYS('Seguimiento OIT_Backup'!$R43,TODAY(),{"02/04/2026";"03/04/2026"}))),"-")</f>
        <v>-</v>
      </c>
      <c r="T43" s="91" t="str">
        <f ca="1">IFERROR(IF(OR(D43="-",D43="",P43="Contratado"),"-",TODAY()-'Seguimiento OIT_Backup'!$D43),"-")</f>
        <v>-</v>
      </c>
      <c r="U43" s="78" t="s">
        <v>224</v>
      </c>
      <c r="V43" s="82"/>
      <c r="W43" s="83">
        <v>46015</v>
      </c>
      <c r="X43" s="78" t="s">
        <v>112</v>
      </c>
      <c r="Y43" s="80" t="s">
        <v>43</v>
      </c>
      <c r="Z43" s="79"/>
      <c r="AA43" s="80" t="s">
        <v>43</v>
      </c>
      <c r="AB43" s="88" t="s">
        <v>54</v>
      </c>
      <c r="AC43" s="91" t="str">
        <f t="shared" ca="1" si="3"/>
        <v>Vigente</v>
      </c>
      <c r="AD43" s="92" t="str">
        <f>CONCATENATE('Seguimiento OIT_Backup'!$U43," ",'Seguimiento OIT_Backup'!$V43)</f>
        <v xml:space="preserve">Contrato </v>
      </c>
      <c r="AE43" s="93" t="str">
        <f t="shared" si="4"/>
        <v>GRUPO VENTURA PERU S.A.C.</v>
      </c>
      <c r="AF43" s="94">
        <f t="shared" si="5"/>
        <v>46015</v>
      </c>
      <c r="AG43" s="80" t="s">
        <v>223</v>
      </c>
      <c r="AH43" s="85">
        <v>46019</v>
      </c>
      <c r="AI43" s="85">
        <v>46382</v>
      </c>
      <c r="AJ43" s="95" t="str">
        <f>IFERROR(IF(OR(AH43="-",AH43="",AI43="-",AI43=""),"-",CONCATENATE('Seguimiento OIT_Backup'!AI43-'Seguimiento OIT_Backup'!AH43+1," dias")),"-")</f>
        <v>364 dias</v>
      </c>
      <c r="AK43" s="80" t="s">
        <v>365</v>
      </c>
      <c r="AL43" s="35" t="s">
        <v>1195</v>
      </c>
      <c r="AM43" s="35"/>
    </row>
    <row r="44" spans="1:39" ht="43.9" customHeight="1">
      <c r="A44" s="37" t="s">
        <v>1196</v>
      </c>
      <c r="B44" s="88" t="s">
        <v>45</v>
      </c>
      <c r="C44" s="88" t="s">
        <v>61</v>
      </c>
      <c r="D44" s="83" t="s">
        <v>43</v>
      </c>
      <c r="E44" s="83" t="s">
        <v>43</v>
      </c>
      <c r="F44" s="84" t="s">
        <v>367</v>
      </c>
      <c r="G44" s="89" t="s">
        <v>69</v>
      </c>
      <c r="H44" s="1" t="s">
        <v>369</v>
      </c>
      <c r="I44" s="83" t="s">
        <v>368</v>
      </c>
      <c r="J44" s="83" t="s">
        <v>370</v>
      </c>
      <c r="K44" s="80" t="s">
        <v>371</v>
      </c>
      <c r="L44" s="80" t="s">
        <v>372</v>
      </c>
      <c r="M44" s="80" t="s">
        <v>196</v>
      </c>
      <c r="N44" s="81">
        <v>40000</v>
      </c>
      <c r="O44" s="86">
        <v>46085</v>
      </c>
      <c r="P44" s="90" t="s">
        <v>882</v>
      </c>
      <c r="Q44" s="82" t="s">
        <v>423</v>
      </c>
      <c r="R44" s="86">
        <v>46153</v>
      </c>
      <c r="S44" s="91" t="str">
        <f ca="1">IFERROR(IF(OR(P44="Contratado",P44="No corresponde atención OGTI",P44="Desistido"),"-",IF('Seguimiento OIT_Backup'!$R44="","-",NETWORKDAYS('Seguimiento OIT_Backup'!$R44,TODAY(),{"02/04/2026";"03/04/2026"}))),"-")</f>
        <v>-</v>
      </c>
      <c r="T44" s="91" t="str">
        <f ca="1">IFERROR(IF(OR(D44="-",D44="",P44="Contratado"),"-",TODAY()-'Seguimiento OIT_Backup'!$D44),"-")</f>
        <v>-</v>
      </c>
      <c r="U44" s="78" t="s">
        <v>77</v>
      </c>
      <c r="V44" s="82" t="s">
        <v>373</v>
      </c>
      <c r="W44" s="83">
        <v>46150</v>
      </c>
      <c r="X44" s="78" t="s">
        <v>374</v>
      </c>
      <c r="Y44" s="80" t="s">
        <v>43</v>
      </c>
      <c r="Z44" s="79" t="s">
        <v>378</v>
      </c>
      <c r="AA44" s="80" t="s">
        <v>43</v>
      </c>
      <c r="AB44" s="88" t="s">
        <v>815</v>
      </c>
      <c r="AC44" s="91" t="str">
        <f t="shared" ca="1" si="3"/>
        <v>Ejecutandose</v>
      </c>
      <c r="AD44" s="92" t="str">
        <f>CONCATENATE('Seguimiento OIT_Backup'!$U44," ",'Seguimiento OIT_Backup'!$V44)</f>
        <v>Orden de Servicio 0002412-2026</v>
      </c>
      <c r="AE44" s="93" t="str">
        <f t="shared" si="4"/>
        <v>IT STORAGE EIRL</v>
      </c>
      <c r="AF44" s="94">
        <f t="shared" si="5"/>
        <v>46150</v>
      </c>
      <c r="AG44" s="80" t="s">
        <v>372</v>
      </c>
      <c r="AH44" s="85" t="s">
        <v>43</v>
      </c>
      <c r="AI44" s="85" t="s">
        <v>43</v>
      </c>
      <c r="AJ44" s="95" t="str">
        <f>IFERROR(IF(OR(AH44="-",AH44="",AI44="-",AI44=""),"-",CONCATENATE('Seguimiento OIT_Backup'!AI44-'Seguimiento OIT_Backup'!AH44+1," dias")),"-")</f>
        <v>-</v>
      </c>
      <c r="AK44" s="80" t="s">
        <v>1197</v>
      </c>
      <c r="AL44" s="35" t="s">
        <v>1145</v>
      </c>
      <c r="AM44" s="35"/>
    </row>
    <row r="45" spans="1:39" ht="43.9" customHeight="1">
      <c r="A45" s="37" t="s">
        <v>1198</v>
      </c>
      <c r="B45" s="88" t="s">
        <v>45</v>
      </c>
      <c r="C45" s="88" t="s">
        <v>61</v>
      </c>
      <c r="D45" s="83" t="s">
        <v>43</v>
      </c>
      <c r="E45" s="83" t="s">
        <v>43</v>
      </c>
      <c r="F45" s="84" t="s">
        <v>380</v>
      </c>
      <c r="G45" s="89" t="s">
        <v>69</v>
      </c>
      <c r="H45" s="84" t="s">
        <v>382</v>
      </c>
      <c r="I45" s="83" t="s">
        <v>381</v>
      </c>
      <c r="J45" s="83" t="s">
        <v>222</v>
      </c>
      <c r="K45" s="80" t="s">
        <v>223</v>
      </c>
      <c r="L45" s="80" t="s">
        <v>223</v>
      </c>
      <c r="M45" s="80" t="s">
        <v>196</v>
      </c>
      <c r="N45" s="81">
        <v>43966.8</v>
      </c>
      <c r="O45" s="86">
        <v>46107</v>
      </c>
      <c r="P45" s="90" t="s">
        <v>882</v>
      </c>
      <c r="Q45" s="82" t="s">
        <v>423</v>
      </c>
      <c r="R45" s="86">
        <v>46127</v>
      </c>
      <c r="S45" s="91" t="str">
        <f ca="1">IFERROR(IF(OR(P45="Contratado",P45="No corresponde atención OGTI",P45="Desistido"),"-",IF('Seguimiento OIT_Backup'!$R45="","-",NETWORKDAYS('Seguimiento OIT_Backup'!$R45,TODAY(),{"02/04/2026";"03/04/2026"}))),"-")</f>
        <v>-</v>
      </c>
      <c r="T45" s="91" t="str">
        <f ca="1">IFERROR(IF(OR(D45="-",D45="",P45="Contratado"),"-",TODAY()-'Seguimiento OIT_Backup'!$D45),"-")</f>
        <v>-</v>
      </c>
      <c r="U45" s="78" t="s">
        <v>77</v>
      </c>
      <c r="V45" s="82" t="s">
        <v>383</v>
      </c>
      <c r="W45" s="83">
        <v>46127</v>
      </c>
      <c r="X45" s="78" t="s">
        <v>384</v>
      </c>
      <c r="Y45" s="80" t="s">
        <v>43</v>
      </c>
      <c r="Z45" s="79" t="s">
        <v>386</v>
      </c>
      <c r="AA45" s="80" t="s">
        <v>43</v>
      </c>
      <c r="AB45" s="88" t="s">
        <v>54</v>
      </c>
      <c r="AC45" s="91" t="str">
        <f t="shared" ca="1" si="3"/>
        <v>Vencido</v>
      </c>
      <c r="AD45" s="92" t="str">
        <f>CONCATENATE('Seguimiento OIT_Backup'!$U45," ",'Seguimiento OIT_Backup'!$V45)</f>
        <v>Orden de Servicio 0001981-2026</v>
      </c>
      <c r="AE45" s="93" t="str">
        <f t="shared" si="4"/>
        <v>GTD PERÚ S.A</v>
      </c>
      <c r="AF45" s="94">
        <f t="shared" si="5"/>
        <v>46127</v>
      </c>
      <c r="AG45" s="80" t="s">
        <v>223</v>
      </c>
      <c r="AH45" s="85">
        <v>46133</v>
      </c>
      <c r="AI45" s="85">
        <v>46222</v>
      </c>
      <c r="AJ45" s="95" t="str">
        <f>IFERROR(IF(OR(AH45="-",AH45="",AI45="-",AI45=""),"-",CONCATENATE('Seguimiento OIT_Backup'!AI45-'Seguimiento OIT_Backup'!AH45+1," dias")),"-")</f>
        <v>90 dias</v>
      </c>
      <c r="AK45" s="80" t="s">
        <v>385</v>
      </c>
      <c r="AL45" s="35"/>
      <c r="AM45" s="35"/>
    </row>
    <row r="46" spans="1:39" ht="43.9" customHeight="1">
      <c r="A46" s="37" t="s">
        <v>1199</v>
      </c>
      <c r="B46" s="88" t="s">
        <v>45</v>
      </c>
      <c r="C46" s="88" t="s">
        <v>61</v>
      </c>
      <c r="D46" s="83" t="s">
        <v>43</v>
      </c>
      <c r="E46" s="83" t="s">
        <v>43</v>
      </c>
      <c r="F46" s="84" t="s">
        <v>388</v>
      </c>
      <c r="G46" s="89" t="s">
        <v>47</v>
      </c>
      <c r="H46" s="84" t="s">
        <v>390</v>
      </c>
      <c r="I46" s="83" t="s">
        <v>389</v>
      </c>
      <c r="J46" s="83" t="s">
        <v>73</v>
      </c>
      <c r="K46" s="80" t="s">
        <v>74</v>
      </c>
      <c r="L46" s="80" t="s">
        <v>75</v>
      </c>
      <c r="M46" s="80" t="s">
        <v>391</v>
      </c>
      <c r="N46" s="81" t="s">
        <v>280</v>
      </c>
      <c r="O46" s="86">
        <v>46160</v>
      </c>
      <c r="P46" s="90" t="s">
        <v>281</v>
      </c>
      <c r="Q46" s="82" t="s">
        <v>270</v>
      </c>
      <c r="R46" s="86">
        <v>46174</v>
      </c>
      <c r="S46" s="91">
        <f ca="1">IFERROR(IF(OR(P46="Contratado",P46="No corresponde atención OGTI",P46="Desistido"),"-",IF('Seguimiento OIT_Backup'!$R46="","-",NETWORKDAYS('Seguimiento OIT_Backup'!$R46,TODAY(),{"02/04/2026";"03/04/2026"}))),"-")</f>
        <v>45</v>
      </c>
      <c r="T46" s="91" t="str">
        <f ca="1">IFERROR(IF(OR(D46="-",D46="",P46="Contratado"),"-",TODAY()-'Seguimiento OIT_Backup'!$D46),"-")</f>
        <v>-</v>
      </c>
      <c r="U46" s="78" t="s">
        <v>43</v>
      </c>
      <c r="V46" s="82" t="s">
        <v>43</v>
      </c>
      <c r="W46" s="82" t="s">
        <v>43</v>
      </c>
      <c r="X46" s="82" t="s">
        <v>43</v>
      </c>
      <c r="Y46" s="96" t="s">
        <v>1200</v>
      </c>
      <c r="Z46" s="79" t="s">
        <v>393</v>
      </c>
      <c r="AA46" s="80" t="s">
        <v>43</v>
      </c>
      <c r="AB46" s="88" t="s">
        <v>43</v>
      </c>
      <c r="AC46" s="91" t="str">
        <f t="shared" ca="1" si="3"/>
        <v>-</v>
      </c>
      <c r="AD46" s="92" t="str">
        <f>CONCATENATE('Seguimiento OIT_Backup'!$U46," ",'Seguimiento OIT_Backup'!$V46)</f>
        <v>- -</v>
      </c>
      <c r="AE46" s="93" t="str">
        <f t="shared" si="4"/>
        <v>-</v>
      </c>
      <c r="AF46" s="94" t="str">
        <f t="shared" si="5"/>
        <v>-</v>
      </c>
      <c r="AG46" s="80" t="s">
        <v>43</v>
      </c>
      <c r="AH46" s="85" t="s">
        <v>43</v>
      </c>
      <c r="AI46" s="85" t="s">
        <v>43</v>
      </c>
      <c r="AJ46" s="95" t="str">
        <f>IFERROR(IF(OR(AH46="-",AH46="",AI46="-",AI46=""),"-",CONCATENATE('Seguimiento OIT_Backup'!AI46-'Seguimiento OIT_Backup'!AH46+1," dias")),"-")</f>
        <v>-</v>
      </c>
      <c r="AK46" s="85" t="s">
        <v>43</v>
      </c>
      <c r="AL46" s="35"/>
      <c r="AM46" s="35"/>
    </row>
    <row r="47" spans="1:39" ht="43.9" customHeight="1">
      <c r="A47" s="37" t="s">
        <v>1201</v>
      </c>
      <c r="B47" s="88" t="s">
        <v>45</v>
      </c>
      <c r="C47" s="88" t="s">
        <v>61</v>
      </c>
      <c r="D47" s="83" t="s">
        <v>43</v>
      </c>
      <c r="E47" s="83" t="s">
        <v>43</v>
      </c>
      <c r="F47" s="84" t="s">
        <v>395</v>
      </c>
      <c r="G47" s="89" t="s">
        <v>47</v>
      </c>
      <c r="H47" s="84" t="s">
        <v>397</v>
      </c>
      <c r="I47" s="83" t="s">
        <v>396</v>
      </c>
      <c r="J47" s="83" t="s">
        <v>73</v>
      </c>
      <c r="K47" s="80" t="s">
        <v>74</v>
      </c>
      <c r="L47" s="80" t="s">
        <v>75</v>
      </c>
      <c r="M47" s="80" t="s">
        <v>391</v>
      </c>
      <c r="N47" s="81" t="s">
        <v>280</v>
      </c>
      <c r="O47" s="86">
        <v>46157</v>
      </c>
      <c r="P47" s="90" t="s">
        <v>281</v>
      </c>
      <c r="Q47" s="82" t="s">
        <v>270</v>
      </c>
      <c r="R47" s="86">
        <v>46169</v>
      </c>
      <c r="S47" s="91">
        <f ca="1">IFERROR(IF(OR(P47="Contratado",P47="No corresponde atención OGTI",P47="Desistido"),"-",IF('Seguimiento OIT_Backup'!$R47="","-",NETWORKDAYS('Seguimiento OIT_Backup'!$R47,TODAY(),{"02/04/2026";"03/04/2026"}))),"-")</f>
        <v>48</v>
      </c>
      <c r="T47" s="91" t="str">
        <f ca="1">IFERROR(IF(OR(D47="-",D47="",P47="Contratado"),"-",TODAY()-'Seguimiento OIT_Backup'!$D47),"-")</f>
        <v>-</v>
      </c>
      <c r="U47" s="78" t="s">
        <v>43</v>
      </c>
      <c r="V47" s="82" t="s">
        <v>43</v>
      </c>
      <c r="W47" s="82" t="s">
        <v>43</v>
      </c>
      <c r="X47" s="82" t="s">
        <v>43</v>
      </c>
      <c r="Y47" s="96" t="s">
        <v>398</v>
      </c>
      <c r="Z47" s="79" t="s">
        <v>399</v>
      </c>
      <c r="AA47" s="80" t="s">
        <v>43</v>
      </c>
      <c r="AB47" s="88" t="s">
        <v>43</v>
      </c>
      <c r="AC47" s="91" t="str">
        <f t="shared" ca="1" si="3"/>
        <v>-</v>
      </c>
      <c r="AD47" s="92" t="str">
        <f>CONCATENATE('Seguimiento OIT_Backup'!$U47," ",'Seguimiento OIT_Backup'!$V47)</f>
        <v>- -</v>
      </c>
      <c r="AE47" s="93" t="str">
        <f t="shared" si="4"/>
        <v>-</v>
      </c>
      <c r="AF47" s="94" t="str">
        <f t="shared" si="5"/>
        <v>-</v>
      </c>
      <c r="AG47" s="80" t="s">
        <v>43</v>
      </c>
      <c r="AH47" s="85" t="s">
        <v>43</v>
      </c>
      <c r="AI47" s="85" t="s">
        <v>43</v>
      </c>
      <c r="AJ47" s="95" t="str">
        <f>IFERROR(IF(OR(AH47="-",AH47="",AI47="-",AI47=""),"-",CONCATENATE('Seguimiento OIT_Backup'!AI47-'Seguimiento OIT_Backup'!AH47+1," dias")),"-")</f>
        <v>-</v>
      </c>
      <c r="AK47" s="85" t="s">
        <v>43</v>
      </c>
      <c r="AL47" s="35"/>
      <c r="AM47" s="35"/>
    </row>
    <row r="48" spans="1:39" ht="43.9" customHeight="1">
      <c r="A48" s="37" t="s">
        <v>1202</v>
      </c>
      <c r="B48" s="88" t="s">
        <v>45</v>
      </c>
      <c r="C48" s="88" t="s">
        <v>61</v>
      </c>
      <c r="D48" s="83" t="s">
        <v>43</v>
      </c>
      <c r="E48" s="83" t="s">
        <v>43</v>
      </c>
      <c r="F48" s="84" t="s">
        <v>401</v>
      </c>
      <c r="G48" s="89" t="s">
        <v>47</v>
      </c>
      <c r="H48" s="84" t="s">
        <v>403</v>
      </c>
      <c r="I48" s="83" t="s">
        <v>402</v>
      </c>
      <c r="J48" s="83" t="s">
        <v>73</v>
      </c>
      <c r="K48" s="80" t="s">
        <v>74</v>
      </c>
      <c r="L48" s="80" t="s">
        <v>75</v>
      </c>
      <c r="M48" s="80" t="s">
        <v>404</v>
      </c>
      <c r="N48" s="81" t="s">
        <v>280</v>
      </c>
      <c r="O48" s="86">
        <v>46155</v>
      </c>
      <c r="P48" s="90" t="s">
        <v>281</v>
      </c>
      <c r="Q48" s="82" t="s">
        <v>270</v>
      </c>
      <c r="R48" s="86">
        <v>46178</v>
      </c>
      <c r="S48" s="91">
        <f ca="1">IFERROR(IF(OR(P48="Contratado",P48="No corresponde atención OGTI",P48="Desistido"),"-",IF('Seguimiento OIT_Backup'!$R48="","-",NETWORKDAYS('Seguimiento OIT_Backup'!$R48,TODAY(),{"02/04/2026";"03/04/2026"}))),"-")</f>
        <v>41</v>
      </c>
      <c r="T48" s="91" t="str">
        <f ca="1">IFERROR(IF(OR(D48="-",D48="",P48="Contratado"),"-",TODAY()-'Seguimiento OIT_Backup'!$D48),"-")</f>
        <v>-</v>
      </c>
      <c r="U48" s="78" t="s">
        <v>43</v>
      </c>
      <c r="V48" s="82" t="s">
        <v>43</v>
      </c>
      <c r="W48" s="82" t="s">
        <v>43</v>
      </c>
      <c r="X48" s="82" t="s">
        <v>43</v>
      </c>
      <c r="Y48" s="96" t="s">
        <v>405</v>
      </c>
      <c r="Z48" s="79" t="s">
        <v>406</v>
      </c>
      <c r="AA48" s="80" t="s">
        <v>43</v>
      </c>
      <c r="AB48" s="88" t="s">
        <v>43</v>
      </c>
      <c r="AC48" s="91" t="str">
        <f t="shared" ca="1" si="3"/>
        <v>-</v>
      </c>
      <c r="AD48" s="92" t="str">
        <f>CONCATENATE('Seguimiento OIT_Backup'!$U48," ",'Seguimiento OIT_Backup'!$V48)</f>
        <v>- -</v>
      </c>
      <c r="AE48" s="93" t="str">
        <f t="shared" si="4"/>
        <v>-</v>
      </c>
      <c r="AF48" s="94" t="str">
        <f t="shared" si="5"/>
        <v>-</v>
      </c>
      <c r="AG48" s="80" t="s">
        <v>43</v>
      </c>
      <c r="AH48" s="85" t="s">
        <v>43</v>
      </c>
      <c r="AI48" s="85" t="s">
        <v>43</v>
      </c>
      <c r="AJ48" s="95" t="str">
        <f>IFERROR(IF(OR(AH48="-",AH48="",AI48="-",AI48=""),"-",CONCATENATE('Seguimiento OIT_Backup'!AI48-'Seguimiento OIT_Backup'!AH48+1," dias")),"-")</f>
        <v>-</v>
      </c>
      <c r="AK48" s="85" t="s">
        <v>43</v>
      </c>
      <c r="AL48" s="35"/>
      <c r="AM48" s="35"/>
    </row>
    <row r="49" spans="1:39" ht="43.9" customHeight="1">
      <c r="A49" s="37" t="s">
        <v>1203</v>
      </c>
      <c r="B49" s="88" t="s">
        <v>45</v>
      </c>
      <c r="C49" s="88" t="s">
        <v>61</v>
      </c>
      <c r="D49" s="83" t="s">
        <v>43</v>
      </c>
      <c r="E49" s="83" t="s">
        <v>43</v>
      </c>
      <c r="F49" s="60" t="s">
        <v>408</v>
      </c>
      <c r="G49" s="89" t="s">
        <v>47</v>
      </c>
      <c r="H49" s="84" t="s">
        <v>279</v>
      </c>
      <c r="I49" s="83" t="s">
        <v>409</v>
      </c>
      <c r="J49" s="83" t="s">
        <v>73</v>
      </c>
      <c r="K49" s="80" t="s">
        <v>74</v>
      </c>
      <c r="L49" s="80" t="s">
        <v>75</v>
      </c>
      <c r="M49" s="80" t="s">
        <v>110</v>
      </c>
      <c r="N49" s="81" t="s">
        <v>280</v>
      </c>
      <c r="O49" s="86">
        <v>46153</v>
      </c>
      <c r="P49" s="90" t="s">
        <v>281</v>
      </c>
      <c r="Q49" s="82" t="s">
        <v>270</v>
      </c>
      <c r="R49" s="86">
        <v>46168</v>
      </c>
      <c r="S49" s="91">
        <f ca="1">IFERROR(IF(OR(P49="Contratado",P49="No corresponde atención OGTI",P49="Desistido"),"-",IF('Seguimiento OIT_Backup'!$R49="","-",NETWORKDAYS('Seguimiento OIT_Backup'!$R49,TODAY(),{"02/04/2026";"03/04/2026"}))),"-")</f>
        <v>49</v>
      </c>
      <c r="T49" s="91" t="str">
        <f ca="1">IFERROR(IF(OR(D49="-",D49="",P49="Contratado"),"-",TODAY()-'Seguimiento OIT_Backup'!$D49),"-")</f>
        <v>-</v>
      </c>
      <c r="U49" s="78" t="s">
        <v>43</v>
      </c>
      <c r="V49" s="82" t="s">
        <v>43</v>
      </c>
      <c r="W49" s="82" t="s">
        <v>43</v>
      </c>
      <c r="X49" s="82" t="s">
        <v>43</v>
      </c>
      <c r="Y49" s="96" t="s">
        <v>410</v>
      </c>
      <c r="Z49" s="79" t="s">
        <v>411</v>
      </c>
      <c r="AA49" s="80" t="s">
        <v>43</v>
      </c>
      <c r="AB49" s="88" t="s">
        <v>43</v>
      </c>
      <c r="AC49" s="91" t="str">
        <f t="shared" ca="1" si="3"/>
        <v>-</v>
      </c>
      <c r="AD49" s="92" t="str">
        <f>CONCATENATE('Seguimiento OIT_Backup'!$U49," ",'Seguimiento OIT_Backup'!$V49)</f>
        <v>- -</v>
      </c>
      <c r="AE49" s="93" t="str">
        <f t="shared" si="4"/>
        <v>-</v>
      </c>
      <c r="AF49" s="94" t="str">
        <f t="shared" si="5"/>
        <v>-</v>
      </c>
      <c r="AG49" s="80" t="s">
        <v>43</v>
      </c>
      <c r="AH49" s="82" t="s">
        <v>43</v>
      </c>
      <c r="AI49" s="82" t="s">
        <v>43</v>
      </c>
      <c r="AJ49" s="95" t="str">
        <f>IFERROR(IF(OR(AH49="-",AH49="",AI49="-",AI49=""),"-",CONCATENATE('Seguimiento OIT_Backup'!AI49-'Seguimiento OIT_Backup'!AH49+1," dias")),"-")</f>
        <v>-</v>
      </c>
      <c r="AK49" s="82" t="s">
        <v>43</v>
      </c>
      <c r="AL49" s="35"/>
      <c r="AM49" s="35"/>
    </row>
    <row r="50" spans="1:39" ht="43.9" customHeight="1">
      <c r="A50" s="37" t="s">
        <v>1204</v>
      </c>
      <c r="B50" s="88" t="s">
        <v>349</v>
      </c>
      <c r="C50" s="88" t="s">
        <v>61</v>
      </c>
      <c r="D50" s="83" t="s">
        <v>43</v>
      </c>
      <c r="E50" s="83" t="s">
        <v>43</v>
      </c>
      <c r="F50" s="84" t="s">
        <v>413</v>
      </c>
      <c r="G50" s="89" t="s">
        <v>47</v>
      </c>
      <c r="H50" s="84" t="s">
        <v>415</v>
      </c>
      <c r="I50" s="83" t="s">
        <v>414</v>
      </c>
      <c r="J50" s="83" t="s">
        <v>73</v>
      </c>
      <c r="K50" s="80" t="s">
        <v>74</v>
      </c>
      <c r="L50" s="80" t="s">
        <v>75</v>
      </c>
      <c r="M50" s="80" t="s">
        <v>110</v>
      </c>
      <c r="N50" s="81" t="s">
        <v>280</v>
      </c>
      <c r="O50" s="86">
        <v>46155</v>
      </c>
      <c r="P50" s="90" t="s">
        <v>281</v>
      </c>
      <c r="Q50" s="82" t="s">
        <v>270</v>
      </c>
      <c r="R50" s="86">
        <v>46182</v>
      </c>
      <c r="S50" s="91">
        <f ca="1">IFERROR(IF(OR(P50="Contratado",P50="No corresponde atención OGTI",P50="Desistido"),"-",IF('Seguimiento OIT_Backup'!$R50="","-",NETWORKDAYS('Seguimiento OIT_Backup'!$R50,TODAY(),{"02/04/2026";"03/04/2026"}))),"-")</f>
        <v>39</v>
      </c>
      <c r="T50" s="91" t="str">
        <f ca="1">IFERROR(IF(OR(D50="-",D50="",P50="Contratado"),"-",TODAY()-'Seguimiento OIT_Backup'!$D50),"-")</f>
        <v>-</v>
      </c>
      <c r="U50" s="78" t="s">
        <v>43</v>
      </c>
      <c r="V50" s="82" t="s">
        <v>43</v>
      </c>
      <c r="W50" s="82" t="s">
        <v>43</v>
      </c>
      <c r="X50" s="82" t="s">
        <v>43</v>
      </c>
      <c r="Y50" s="96" t="s">
        <v>416</v>
      </c>
      <c r="Z50" s="79" t="s">
        <v>417</v>
      </c>
      <c r="AA50" s="80" t="s">
        <v>43</v>
      </c>
      <c r="AB50" s="88" t="s">
        <v>43</v>
      </c>
      <c r="AC50" s="91" t="str">
        <f t="shared" ca="1" si="3"/>
        <v>-</v>
      </c>
      <c r="AD50" s="92" t="str">
        <f>CONCATENATE('Seguimiento OIT_Backup'!$U50," ",'Seguimiento OIT_Backup'!$V50)</f>
        <v>- -</v>
      </c>
      <c r="AE50" s="93" t="str">
        <f t="shared" si="4"/>
        <v>-</v>
      </c>
      <c r="AF50" s="94" t="str">
        <f t="shared" si="5"/>
        <v>-</v>
      </c>
      <c r="AG50" s="80" t="s">
        <v>43</v>
      </c>
      <c r="AH50" s="82" t="s">
        <v>43</v>
      </c>
      <c r="AI50" s="82" t="s">
        <v>43</v>
      </c>
      <c r="AJ50" s="95" t="str">
        <f>IFERROR(IF(OR(AH50="-",AH50="",AI50="-",AI50=""),"-",CONCATENATE('Seguimiento OIT_Backup'!AI50-'Seguimiento OIT_Backup'!AH50+1," dias")),"-")</f>
        <v>-</v>
      </c>
      <c r="AK50" s="82" t="s">
        <v>43</v>
      </c>
      <c r="AL50" s="35"/>
      <c r="AM50" s="35"/>
    </row>
    <row r="51" spans="1:39" ht="43.9" customHeight="1">
      <c r="A51" s="37" t="s">
        <v>1205</v>
      </c>
      <c r="B51" s="88" t="s">
        <v>45</v>
      </c>
      <c r="C51" s="88" t="s">
        <v>61</v>
      </c>
      <c r="D51" s="83" t="s">
        <v>43</v>
      </c>
      <c r="E51" s="83" t="s">
        <v>43</v>
      </c>
      <c r="F51" s="84" t="s">
        <v>975</v>
      </c>
      <c r="G51" s="89" t="s">
        <v>69</v>
      </c>
      <c r="H51" s="84" t="s">
        <v>421</v>
      </c>
      <c r="I51" s="83" t="s">
        <v>1206</v>
      </c>
      <c r="J51" s="83" t="s">
        <v>119</v>
      </c>
      <c r="K51" s="80" t="s">
        <v>120</v>
      </c>
      <c r="L51" s="80" t="s">
        <v>75</v>
      </c>
      <c r="M51" s="80" t="s">
        <v>130</v>
      </c>
      <c r="N51" s="81" t="s">
        <v>280</v>
      </c>
      <c r="O51" s="86">
        <v>46178</v>
      </c>
      <c r="P51" s="90" t="s">
        <v>281</v>
      </c>
      <c r="Q51" s="82" t="s">
        <v>327</v>
      </c>
      <c r="R51" s="83">
        <v>46188</v>
      </c>
      <c r="S51" s="91">
        <f ca="1">IFERROR(IF(OR(P51="Contratado",P51="No corresponde atención OGTI",P51="Desistido"),"-",IF('Seguimiento OIT_Backup'!$R51="","-",NETWORKDAYS('Seguimiento OIT_Backup'!$R51,TODAY(),{"02/04/2026";"03/04/2026"}))),"-")</f>
        <v>35</v>
      </c>
      <c r="T51" s="91" t="str">
        <f ca="1">IFERROR(IF(OR(D51="-",D51="",P51="Contratado"),"-",TODAY()-'Seguimiento OIT_Backup'!$D51),"-")</f>
        <v>-</v>
      </c>
      <c r="U51" s="78" t="s">
        <v>43</v>
      </c>
      <c r="V51" s="82" t="s">
        <v>43</v>
      </c>
      <c r="W51" s="82" t="s">
        <v>43</v>
      </c>
      <c r="X51" s="82" t="s">
        <v>43</v>
      </c>
      <c r="Y51" s="96" t="s">
        <v>424</v>
      </c>
      <c r="Z51" s="79" t="s">
        <v>425</v>
      </c>
      <c r="AA51" s="80" t="s">
        <v>43</v>
      </c>
      <c r="AB51" s="88" t="s">
        <v>43</v>
      </c>
      <c r="AC51" s="91" t="str">
        <f t="shared" ca="1" si="3"/>
        <v>-</v>
      </c>
      <c r="AD51" s="92" t="str">
        <f>CONCATENATE('Seguimiento OIT_Backup'!$U51," ",'Seguimiento OIT_Backup'!$V51)</f>
        <v>- -</v>
      </c>
      <c r="AE51" s="93" t="str">
        <f t="shared" si="4"/>
        <v>-</v>
      </c>
      <c r="AF51" s="94" t="str">
        <f t="shared" si="5"/>
        <v>-</v>
      </c>
      <c r="AG51" s="80" t="s">
        <v>43</v>
      </c>
      <c r="AH51" s="82" t="s">
        <v>43</v>
      </c>
      <c r="AI51" s="82" t="s">
        <v>43</v>
      </c>
      <c r="AJ51" s="95" t="str">
        <f>IFERROR(IF(OR(AH51="-",AH51="",AI51="-",AI51=""),"-",CONCATENATE('Seguimiento OIT_Backup'!AI51-'Seguimiento OIT_Backup'!AH51+1," dias")),"-")</f>
        <v>-</v>
      </c>
      <c r="AK51" s="82" t="s">
        <v>43</v>
      </c>
      <c r="AL51" s="35"/>
      <c r="AM51" s="35"/>
    </row>
    <row r="52" spans="1:39" ht="43.9" customHeight="1">
      <c r="A52" s="37" t="s">
        <v>1207</v>
      </c>
      <c r="B52" s="88" t="s">
        <v>45</v>
      </c>
      <c r="C52" s="88" t="s">
        <v>61</v>
      </c>
      <c r="D52" s="83" t="s">
        <v>43</v>
      </c>
      <c r="E52" s="83" t="s">
        <v>43</v>
      </c>
      <c r="F52" s="84" t="s">
        <v>976</v>
      </c>
      <c r="G52" s="89" t="s">
        <v>69</v>
      </c>
      <c r="H52" s="84" t="s">
        <v>429</v>
      </c>
      <c r="I52" s="83" t="s">
        <v>1208</v>
      </c>
      <c r="J52" s="83" t="s">
        <v>119</v>
      </c>
      <c r="K52" s="80" t="s">
        <v>120</v>
      </c>
      <c r="L52" s="80" t="s">
        <v>75</v>
      </c>
      <c r="M52" s="80" t="s">
        <v>130</v>
      </c>
      <c r="N52" s="81" t="s">
        <v>280</v>
      </c>
      <c r="O52" s="86">
        <v>46167</v>
      </c>
      <c r="P52" s="90" t="s">
        <v>281</v>
      </c>
      <c r="Q52" s="82" t="s">
        <v>327</v>
      </c>
      <c r="R52" s="83">
        <v>46188</v>
      </c>
      <c r="S52" s="91">
        <f ca="1">IFERROR(IF(OR(P52="Contratado",P52="No corresponde atención OGTI",P52="Desistido"),"-",IF('Seguimiento OIT_Backup'!$R52="","-",NETWORKDAYS('Seguimiento OIT_Backup'!$R52,TODAY(),{"02/04/2026";"03/04/2026"}))),"-")</f>
        <v>35</v>
      </c>
      <c r="T52" s="91" t="str">
        <f ca="1">IFERROR(IF(OR(D52="-",D52="",P52="Contratado"),"-",TODAY()-'Seguimiento OIT_Backup'!$D52),"-")</f>
        <v>-</v>
      </c>
      <c r="U52" s="78" t="s">
        <v>43</v>
      </c>
      <c r="V52" s="82" t="s">
        <v>43</v>
      </c>
      <c r="W52" s="82" t="s">
        <v>43</v>
      </c>
      <c r="X52" s="82" t="s">
        <v>43</v>
      </c>
      <c r="Y52" s="80" t="s">
        <v>43</v>
      </c>
      <c r="Z52" s="79" t="s">
        <v>431</v>
      </c>
      <c r="AA52" s="80" t="s">
        <v>43</v>
      </c>
      <c r="AB52" s="88" t="s">
        <v>43</v>
      </c>
      <c r="AC52" s="91" t="str">
        <f t="shared" ca="1" si="3"/>
        <v>-</v>
      </c>
      <c r="AD52" s="92" t="str">
        <f>CONCATENATE('Seguimiento OIT_Backup'!$U52," ",'Seguimiento OIT_Backup'!$V52)</f>
        <v>- -</v>
      </c>
      <c r="AE52" s="93" t="str">
        <f t="shared" si="4"/>
        <v>-</v>
      </c>
      <c r="AF52" s="94" t="str">
        <f t="shared" si="5"/>
        <v>-</v>
      </c>
      <c r="AG52" s="80" t="s">
        <v>43</v>
      </c>
      <c r="AH52" s="82" t="s">
        <v>43</v>
      </c>
      <c r="AI52" s="82" t="s">
        <v>43</v>
      </c>
      <c r="AJ52" s="95" t="str">
        <f>IFERROR(IF(OR(AH52="-",AH52="",AI52="-",AI52=""),"-",CONCATENATE('Seguimiento OIT_Backup'!AI52-'Seguimiento OIT_Backup'!AH52+1," dias")),"-")</f>
        <v>-</v>
      </c>
      <c r="AK52" s="82" t="s">
        <v>43</v>
      </c>
      <c r="AL52" s="35"/>
      <c r="AM52" s="35"/>
    </row>
    <row r="53" spans="1:39" ht="43.9" customHeight="1">
      <c r="A53" s="88"/>
      <c r="B53" s="88" t="s">
        <v>43</v>
      </c>
      <c r="C53" s="88" t="s">
        <v>43</v>
      </c>
      <c r="D53" s="83" t="s">
        <v>43</v>
      </c>
      <c r="E53" s="83" t="s">
        <v>43</v>
      </c>
      <c r="F53" s="84"/>
      <c r="G53" s="89" t="s">
        <v>43</v>
      </c>
      <c r="H53" s="84"/>
      <c r="I53" s="83"/>
      <c r="J53" s="83" t="s">
        <v>43</v>
      </c>
      <c r="K53" s="80" t="s">
        <v>43</v>
      </c>
      <c r="L53" s="80" t="s">
        <v>43</v>
      </c>
      <c r="M53" s="80" t="s">
        <v>43</v>
      </c>
      <c r="N53" s="81"/>
      <c r="O53" s="86"/>
      <c r="P53" s="90" t="s">
        <v>43</v>
      </c>
      <c r="Q53" s="82" t="s">
        <v>43</v>
      </c>
      <c r="R53" s="83"/>
      <c r="S53" s="91" t="str">
        <f ca="1">IFERROR(IF(OR(P53="Contratado",P53="No corresponde atención OGTI",P53="Desistido"),"-",IF('Seguimiento OIT_Backup'!$R53="","-",NETWORKDAYS('Seguimiento OIT_Backup'!$R53,TODAY(),{"02/04/2026";"03/04/2026"}))),"-")</f>
        <v>-</v>
      </c>
      <c r="T53" s="91" t="str">
        <f ca="1">IFERROR(IF(OR(D53="-",D53="",P53="Contratado"),"-",TODAY()-'Seguimiento OIT_Backup'!$D53),"-")</f>
        <v>-</v>
      </c>
      <c r="U53" s="78" t="s">
        <v>43</v>
      </c>
      <c r="V53" s="82"/>
      <c r="W53" s="83"/>
      <c r="X53" s="78"/>
      <c r="Y53" s="80" t="s">
        <v>43</v>
      </c>
      <c r="Z53" s="79"/>
      <c r="AA53" s="80" t="s">
        <v>43</v>
      </c>
      <c r="AB53" s="88" t="s">
        <v>43</v>
      </c>
      <c r="AC53" s="91" t="str">
        <f t="shared" ca="1" si="3"/>
        <v>-</v>
      </c>
      <c r="AD53" s="92" t="str">
        <f>CONCATENATE('Seguimiento OIT_Backup'!$U53," ",'Seguimiento OIT_Backup'!$V53)</f>
        <v xml:space="preserve">- </v>
      </c>
      <c r="AE53" s="93" t="str">
        <f t="shared" si="4"/>
        <v>-</v>
      </c>
      <c r="AF53" s="94" t="str">
        <f t="shared" si="5"/>
        <v>-</v>
      </c>
      <c r="AG53" s="80" t="s">
        <v>43</v>
      </c>
      <c r="AH53" s="85"/>
      <c r="AI53" s="85"/>
      <c r="AJ53" s="95" t="str">
        <f>IFERROR(IF(OR(AH53="-",AH53="",AI53="-",AI53=""),"-",CONCATENATE('Seguimiento OIT_Backup'!AI53-'Seguimiento OIT_Backup'!AH53+1," dias")),"-")</f>
        <v>-</v>
      </c>
      <c r="AK53" s="80"/>
      <c r="AL53" s="35"/>
      <c r="AM53" s="35"/>
    </row>
    <row r="54" spans="1:39" ht="43.9" customHeight="1">
      <c r="A54" s="88"/>
      <c r="B54" s="88" t="s">
        <v>43</v>
      </c>
      <c r="C54" s="88" t="s">
        <v>43</v>
      </c>
      <c r="D54" s="83" t="s">
        <v>43</v>
      </c>
      <c r="E54" s="83" t="s">
        <v>43</v>
      </c>
      <c r="F54" s="84"/>
      <c r="G54" s="89" t="s">
        <v>43</v>
      </c>
      <c r="H54" s="84"/>
      <c r="I54" s="83"/>
      <c r="J54" s="83" t="s">
        <v>43</v>
      </c>
      <c r="K54" s="80" t="s">
        <v>43</v>
      </c>
      <c r="L54" s="80" t="s">
        <v>43</v>
      </c>
      <c r="M54" s="80" t="s">
        <v>43</v>
      </c>
      <c r="N54" s="81"/>
      <c r="O54" s="86"/>
      <c r="P54" s="90" t="s">
        <v>43</v>
      </c>
      <c r="Q54" s="82" t="s">
        <v>43</v>
      </c>
      <c r="R54" s="83"/>
      <c r="S54" s="91" t="str">
        <f ca="1">IFERROR(IF(OR(P54="Contratado",P54="No corresponde atención OGTI",P54="Desistido"),"-",IF('Seguimiento OIT_Backup'!$R54="","-",NETWORKDAYS('Seguimiento OIT_Backup'!$R54,TODAY(),{"02/04/2026";"03/04/2026"}))),"-")</f>
        <v>-</v>
      </c>
      <c r="T54" s="91" t="str">
        <f ca="1">IFERROR(IF(OR(D54="-",D54="",P54="Contratado"),"-",TODAY()-'Seguimiento OIT_Backup'!$D54),"-")</f>
        <v>-</v>
      </c>
      <c r="U54" s="78" t="s">
        <v>43</v>
      </c>
      <c r="V54" s="82"/>
      <c r="W54" s="83"/>
      <c r="X54" s="78"/>
      <c r="Y54" s="80" t="s">
        <v>43</v>
      </c>
      <c r="Z54" s="79"/>
      <c r="AA54" s="80" t="s">
        <v>43</v>
      </c>
      <c r="AB54" s="88" t="s">
        <v>43</v>
      </c>
      <c r="AC54" s="91" t="str">
        <f t="shared" ca="1" si="3"/>
        <v>-</v>
      </c>
      <c r="AD54" s="92" t="str">
        <f>CONCATENATE('Seguimiento OIT_Backup'!$U54," ",'Seguimiento OIT_Backup'!$V54)</f>
        <v xml:space="preserve">- </v>
      </c>
      <c r="AE54" s="93" t="str">
        <f t="shared" si="4"/>
        <v>-</v>
      </c>
      <c r="AF54" s="94" t="str">
        <f t="shared" si="5"/>
        <v>-</v>
      </c>
      <c r="AG54" s="80" t="s">
        <v>43</v>
      </c>
      <c r="AH54" s="85"/>
      <c r="AI54" s="85"/>
      <c r="AJ54" s="95" t="str">
        <f>IFERROR(IF(OR(AH54="-",AH54="",AI54="-",AI54=""),"-",CONCATENATE('Seguimiento OIT_Backup'!AI54-'Seguimiento OIT_Backup'!AH54+1," dias")),"-")</f>
        <v>-</v>
      </c>
      <c r="AK54" s="80"/>
      <c r="AL54" s="35"/>
      <c r="AM54" s="35"/>
    </row>
    <row r="55" spans="1:39" ht="43.9" customHeight="1">
      <c r="A55" s="88"/>
      <c r="B55" s="88" t="s">
        <v>43</v>
      </c>
      <c r="C55" s="88" t="s">
        <v>43</v>
      </c>
      <c r="D55" s="83" t="s">
        <v>43</v>
      </c>
      <c r="E55" s="83" t="s">
        <v>43</v>
      </c>
      <c r="F55" s="84"/>
      <c r="G55" s="89" t="s">
        <v>43</v>
      </c>
      <c r="H55" s="84"/>
      <c r="I55" s="83"/>
      <c r="J55" s="83" t="s">
        <v>43</v>
      </c>
      <c r="K55" s="80" t="s">
        <v>43</v>
      </c>
      <c r="L55" s="80" t="s">
        <v>43</v>
      </c>
      <c r="M55" s="80" t="s">
        <v>43</v>
      </c>
      <c r="N55" s="81"/>
      <c r="O55" s="86"/>
      <c r="P55" s="90" t="s">
        <v>43</v>
      </c>
      <c r="Q55" s="82" t="s">
        <v>43</v>
      </c>
      <c r="R55" s="83"/>
      <c r="S55" s="91" t="str">
        <f ca="1">IFERROR(IF(OR(P55="Contratado",P55="No corresponde atención OGTI",P55="Desistido"),"-",IF('Seguimiento OIT_Backup'!$R55="","-",NETWORKDAYS('Seguimiento OIT_Backup'!$R55,TODAY(),{"02/04/2026";"03/04/2026"}))),"-")</f>
        <v>-</v>
      </c>
      <c r="T55" s="91" t="str">
        <f ca="1">IFERROR(IF(OR(D55="-",D55="",P55="Contratado"),"-",TODAY()-'Seguimiento OIT_Backup'!$D55),"-")</f>
        <v>-</v>
      </c>
      <c r="U55" s="78" t="s">
        <v>43</v>
      </c>
      <c r="V55" s="82"/>
      <c r="W55" s="83"/>
      <c r="X55" s="78"/>
      <c r="Y55" s="80" t="s">
        <v>43</v>
      </c>
      <c r="Z55" s="79"/>
      <c r="AA55" s="80" t="s">
        <v>43</v>
      </c>
      <c r="AB55" s="88" t="s">
        <v>43</v>
      </c>
      <c r="AC55" s="91" t="str">
        <f t="shared" ca="1" si="3"/>
        <v>-</v>
      </c>
      <c r="AD55" s="92" t="str">
        <f>CONCATENATE('Seguimiento OIT_Backup'!$U55," ",'Seguimiento OIT_Backup'!$V55)</f>
        <v xml:space="preserve">- </v>
      </c>
      <c r="AE55" s="93" t="str">
        <f t="shared" si="4"/>
        <v>-</v>
      </c>
      <c r="AF55" s="94" t="str">
        <f t="shared" si="5"/>
        <v>-</v>
      </c>
      <c r="AG55" s="80" t="s">
        <v>43</v>
      </c>
      <c r="AH55" s="85"/>
      <c r="AI55" s="85"/>
      <c r="AJ55" s="95" t="str">
        <f>IFERROR(IF(OR(AH55="-",AH55="",AI55="-",AI55=""),"-",CONCATENATE('Seguimiento OIT_Backup'!AI55-'Seguimiento OIT_Backup'!AH55+1," dias")),"-")</f>
        <v>-</v>
      </c>
      <c r="AK55" s="80"/>
      <c r="AL55" s="35"/>
      <c r="AM55" s="35"/>
    </row>
    <row r="56" spans="1:39" ht="43.9" customHeight="1">
      <c r="A56" s="88"/>
      <c r="B56" s="88" t="s">
        <v>43</v>
      </c>
      <c r="C56" s="88" t="s">
        <v>43</v>
      </c>
      <c r="D56" s="83" t="s">
        <v>43</v>
      </c>
      <c r="E56" s="83" t="s">
        <v>43</v>
      </c>
      <c r="F56" s="84"/>
      <c r="G56" s="89" t="s">
        <v>43</v>
      </c>
      <c r="H56" s="84"/>
      <c r="I56" s="83"/>
      <c r="J56" s="83" t="s">
        <v>43</v>
      </c>
      <c r="K56" s="80" t="s">
        <v>43</v>
      </c>
      <c r="L56" s="80" t="s">
        <v>43</v>
      </c>
      <c r="M56" s="80" t="s">
        <v>43</v>
      </c>
      <c r="N56" s="81"/>
      <c r="O56" s="86"/>
      <c r="P56" s="90" t="s">
        <v>43</v>
      </c>
      <c r="Q56" s="82" t="s">
        <v>43</v>
      </c>
      <c r="R56" s="83"/>
      <c r="S56" s="91" t="str">
        <f ca="1">IFERROR(IF(OR(P56="Contratado",P56="No corresponde atención OGTI",P56="Desistido"),"-",IF('Seguimiento OIT_Backup'!$R56="","-",NETWORKDAYS('Seguimiento OIT_Backup'!$R56,TODAY(),{"02/04/2026";"03/04/2026"}))),"-")</f>
        <v>-</v>
      </c>
      <c r="T56" s="91" t="str">
        <f ca="1">IFERROR(IF(OR(D56="-",D56="",P56="Contratado"),"-",TODAY()-'Seguimiento OIT_Backup'!$D56),"-")</f>
        <v>-</v>
      </c>
      <c r="U56" s="78" t="s">
        <v>43</v>
      </c>
      <c r="V56" s="82"/>
      <c r="W56" s="83"/>
      <c r="X56" s="78"/>
      <c r="Y56" s="80" t="s">
        <v>43</v>
      </c>
      <c r="Z56" s="79"/>
      <c r="AA56" s="80" t="s">
        <v>43</v>
      </c>
      <c r="AB56" s="88" t="s">
        <v>43</v>
      </c>
      <c r="AC56" s="91" t="str">
        <f t="shared" ca="1" si="3"/>
        <v>-</v>
      </c>
      <c r="AD56" s="92" t="str">
        <f>CONCATENATE('Seguimiento OIT_Backup'!$U56," ",'Seguimiento OIT_Backup'!$V56)</f>
        <v xml:space="preserve">- </v>
      </c>
      <c r="AE56" s="93" t="str">
        <f t="shared" si="4"/>
        <v>-</v>
      </c>
      <c r="AF56" s="94" t="str">
        <f t="shared" si="5"/>
        <v>-</v>
      </c>
      <c r="AG56" s="80" t="s">
        <v>43</v>
      </c>
      <c r="AH56" s="85"/>
      <c r="AI56" s="85"/>
      <c r="AJ56" s="95" t="str">
        <f>IFERROR(IF(OR(AH56="-",AH56="",AI56="-",AI56=""),"-",CONCATENATE('Seguimiento OIT_Backup'!AI56-'Seguimiento OIT_Backup'!AH56+1," dias")),"-")</f>
        <v>-</v>
      </c>
      <c r="AK56" s="80"/>
      <c r="AL56" s="35"/>
      <c r="AM56" s="35"/>
    </row>
    <row r="57" spans="1:39" ht="43.9" customHeight="1">
      <c r="A57" s="88"/>
      <c r="B57" s="88" t="s">
        <v>43</v>
      </c>
      <c r="C57" s="88" t="s">
        <v>43</v>
      </c>
      <c r="D57" s="83" t="s">
        <v>43</v>
      </c>
      <c r="E57" s="83" t="s">
        <v>43</v>
      </c>
      <c r="F57" s="84"/>
      <c r="G57" s="89" t="s">
        <v>43</v>
      </c>
      <c r="H57" s="84"/>
      <c r="I57" s="83"/>
      <c r="J57" s="83" t="s">
        <v>43</v>
      </c>
      <c r="K57" s="80" t="s">
        <v>43</v>
      </c>
      <c r="L57" s="80" t="s">
        <v>43</v>
      </c>
      <c r="M57" s="80" t="s">
        <v>43</v>
      </c>
      <c r="N57" s="81"/>
      <c r="O57" s="86"/>
      <c r="P57" s="90" t="s">
        <v>43</v>
      </c>
      <c r="Q57" s="82" t="s">
        <v>43</v>
      </c>
      <c r="R57" s="83"/>
      <c r="S57" s="91" t="str">
        <f ca="1">IFERROR(IF(OR(P57="Contratado",P57="No corresponde atención OGTI",P57="Desistido"),"-",IF('Seguimiento OIT_Backup'!$R57="","-",NETWORKDAYS('Seguimiento OIT_Backup'!$R57,TODAY(),{"02/04/2026";"03/04/2026"}))),"-")</f>
        <v>-</v>
      </c>
      <c r="T57" s="91" t="str">
        <f ca="1">IFERROR(IF(OR(D57="-",D57="",P57="Contratado"),"-",TODAY()-'Seguimiento OIT_Backup'!$D57),"-")</f>
        <v>-</v>
      </c>
      <c r="U57" s="78" t="s">
        <v>43</v>
      </c>
      <c r="V57" s="82"/>
      <c r="W57" s="83"/>
      <c r="X57" s="78"/>
      <c r="Y57" s="80" t="s">
        <v>43</v>
      </c>
      <c r="Z57" s="79"/>
      <c r="AA57" s="80" t="s">
        <v>43</v>
      </c>
      <c r="AB57" s="88" t="s">
        <v>43</v>
      </c>
      <c r="AC57" s="91" t="str">
        <f t="shared" ca="1" si="3"/>
        <v>-</v>
      </c>
      <c r="AD57" s="92" t="str">
        <f>CONCATENATE('Seguimiento OIT_Backup'!$U57," ",'Seguimiento OIT_Backup'!$V57)</f>
        <v xml:space="preserve">- </v>
      </c>
      <c r="AE57" s="93" t="str">
        <f t="shared" si="4"/>
        <v>-</v>
      </c>
      <c r="AF57" s="94" t="str">
        <f t="shared" si="5"/>
        <v>-</v>
      </c>
      <c r="AG57" s="80" t="s">
        <v>43</v>
      </c>
      <c r="AH57" s="85"/>
      <c r="AI57" s="85"/>
      <c r="AJ57" s="95" t="str">
        <f>IFERROR(IF(OR(AH57="-",AH57="",AI57="-",AI57=""),"-",CONCATENATE('Seguimiento OIT_Backup'!AI57-'Seguimiento OIT_Backup'!AH57+1," dias")),"-")</f>
        <v>-</v>
      </c>
      <c r="AK57" s="80"/>
      <c r="AL57" s="35"/>
      <c r="AM57" s="35"/>
    </row>
    <row r="58" spans="1:39" ht="43.9" customHeight="1">
      <c r="A58" s="88"/>
      <c r="B58" s="88" t="s">
        <v>43</v>
      </c>
      <c r="C58" s="88" t="s">
        <v>43</v>
      </c>
      <c r="D58" s="83" t="s">
        <v>43</v>
      </c>
      <c r="E58" s="83" t="s">
        <v>43</v>
      </c>
      <c r="F58" s="84"/>
      <c r="G58" s="89" t="s">
        <v>43</v>
      </c>
      <c r="H58" s="84"/>
      <c r="I58" s="83"/>
      <c r="J58" s="83" t="s">
        <v>43</v>
      </c>
      <c r="K58" s="80" t="s">
        <v>43</v>
      </c>
      <c r="L58" s="80" t="s">
        <v>43</v>
      </c>
      <c r="M58" s="80" t="s">
        <v>43</v>
      </c>
      <c r="N58" s="81"/>
      <c r="O58" s="86"/>
      <c r="P58" s="90" t="s">
        <v>43</v>
      </c>
      <c r="Q58" s="82" t="s">
        <v>43</v>
      </c>
      <c r="R58" s="83"/>
      <c r="S58" s="91" t="str">
        <f ca="1">IFERROR(IF(OR(P58="Contratado",P58="No corresponde atención OGTI",P58="Desistido"),"-",IF('Seguimiento OIT_Backup'!$R58="","-",NETWORKDAYS('Seguimiento OIT_Backup'!$R58,TODAY(),{"02/04/2026";"03/04/2026"}))),"-")</f>
        <v>-</v>
      </c>
      <c r="T58" s="91" t="str">
        <f ca="1">IFERROR(IF(OR(D58="-",D58="",P58="Contratado"),"-",TODAY()-'Seguimiento OIT_Backup'!$D58),"-")</f>
        <v>-</v>
      </c>
      <c r="U58" s="78" t="s">
        <v>43</v>
      </c>
      <c r="V58" s="82"/>
      <c r="W58" s="83"/>
      <c r="X58" s="78"/>
      <c r="Y58" s="80" t="s">
        <v>43</v>
      </c>
      <c r="Z58" s="79"/>
      <c r="AA58" s="80" t="s">
        <v>43</v>
      </c>
      <c r="AB58" s="88" t="s">
        <v>43</v>
      </c>
      <c r="AC58" s="91" t="str">
        <f t="shared" ca="1" si="3"/>
        <v>-</v>
      </c>
      <c r="AD58" s="92" t="str">
        <f>CONCATENATE('Seguimiento OIT_Backup'!$U58," ",'Seguimiento OIT_Backup'!$V58)</f>
        <v xml:space="preserve">- </v>
      </c>
      <c r="AE58" s="93" t="str">
        <f t="shared" si="4"/>
        <v>-</v>
      </c>
      <c r="AF58" s="94" t="str">
        <f t="shared" si="5"/>
        <v>-</v>
      </c>
      <c r="AG58" s="80" t="s">
        <v>43</v>
      </c>
      <c r="AH58" s="85"/>
      <c r="AI58" s="85"/>
      <c r="AJ58" s="95" t="str">
        <f>IFERROR(IF(OR(AH58="-",AH58="",AI58="-",AI58=""),"-",CONCATENATE('Seguimiento OIT_Backup'!AI58-'Seguimiento OIT_Backup'!AH58+1," dias")),"-")</f>
        <v>-</v>
      </c>
      <c r="AK58" s="80"/>
      <c r="AL58" s="35"/>
      <c r="AM58" s="35"/>
    </row>
    <row r="59" spans="1:39" ht="43.9" customHeight="1">
      <c r="A59" s="88"/>
      <c r="B59" s="88" t="s">
        <v>43</v>
      </c>
      <c r="C59" s="88" t="s">
        <v>43</v>
      </c>
      <c r="D59" s="83" t="s">
        <v>43</v>
      </c>
      <c r="E59" s="83" t="s">
        <v>43</v>
      </c>
      <c r="F59" s="84"/>
      <c r="G59" s="89" t="s">
        <v>43</v>
      </c>
      <c r="H59" s="84"/>
      <c r="I59" s="83"/>
      <c r="J59" s="83" t="s">
        <v>43</v>
      </c>
      <c r="K59" s="80" t="s">
        <v>43</v>
      </c>
      <c r="L59" s="80" t="s">
        <v>43</v>
      </c>
      <c r="M59" s="80" t="s">
        <v>43</v>
      </c>
      <c r="N59" s="81"/>
      <c r="O59" s="86"/>
      <c r="P59" s="90" t="s">
        <v>43</v>
      </c>
      <c r="Q59" s="82" t="s">
        <v>43</v>
      </c>
      <c r="R59" s="83"/>
      <c r="S59" s="91" t="str">
        <f ca="1">IFERROR(IF(OR(P59="Contratado",P59="No corresponde atención OGTI",P59="Desistido"),"-",IF('Seguimiento OIT_Backup'!$R59="","-",NETWORKDAYS('Seguimiento OIT_Backup'!$R59,TODAY(),{"02/04/2026";"03/04/2026"}))),"-")</f>
        <v>-</v>
      </c>
      <c r="T59" s="91" t="str">
        <f ca="1">IFERROR(IF(OR(D59="-",D59="",P59="Contratado"),"-",TODAY()-'Seguimiento OIT_Backup'!$D59),"-")</f>
        <v>-</v>
      </c>
      <c r="U59" s="78" t="s">
        <v>43</v>
      </c>
      <c r="V59" s="82"/>
      <c r="W59" s="83"/>
      <c r="X59" s="78"/>
      <c r="Y59" s="80" t="s">
        <v>43</v>
      </c>
      <c r="Z59" s="79"/>
      <c r="AA59" s="80" t="s">
        <v>43</v>
      </c>
      <c r="AB59" s="88" t="s">
        <v>43</v>
      </c>
      <c r="AC59" s="91" t="str">
        <f t="shared" ca="1" si="3"/>
        <v>-</v>
      </c>
      <c r="AD59" s="92" t="str">
        <f>CONCATENATE('Seguimiento OIT_Backup'!$U59," ",'Seguimiento OIT_Backup'!$V59)</f>
        <v xml:space="preserve">- </v>
      </c>
      <c r="AE59" s="93" t="str">
        <f t="shared" si="4"/>
        <v>-</v>
      </c>
      <c r="AF59" s="94" t="str">
        <f t="shared" si="5"/>
        <v>-</v>
      </c>
      <c r="AG59" s="80" t="s">
        <v>43</v>
      </c>
      <c r="AH59" s="85"/>
      <c r="AI59" s="85"/>
      <c r="AJ59" s="95" t="str">
        <f>IFERROR(IF(OR(AH59="-",AH59="",AI59="-",AI59=""),"-",CONCATENATE('Seguimiento OIT_Backup'!AI59-'Seguimiento OIT_Backup'!AH59+1," dias")),"-")</f>
        <v>-</v>
      </c>
      <c r="AK59" s="80"/>
      <c r="AL59" s="35"/>
      <c r="AM59" s="35"/>
    </row>
    <row r="60" spans="1:39" ht="43.9" customHeight="1">
      <c r="A60" s="88"/>
      <c r="B60" s="88" t="s">
        <v>43</v>
      </c>
      <c r="C60" s="88" t="s">
        <v>43</v>
      </c>
      <c r="D60" s="83" t="s">
        <v>43</v>
      </c>
      <c r="E60" s="83" t="s">
        <v>43</v>
      </c>
      <c r="F60" s="84"/>
      <c r="G60" s="89" t="s">
        <v>43</v>
      </c>
      <c r="H60" s="84"/>
      <c r="I60" s="83"/>
      <c r="J60" s="83" t="s">
        <v>43</v>
      </c>
      <c r="K60" s="80" t="s">
        <v>43</v>
      </c>
      <c r="L60" s="80" t="s">
        <v>43</v>
      </c>
      <c r="M60" s="80" t="s">
        <v>43</v>
      </c>
      <c r="N60" s="81"/>
      <c r="O60" s="86"/>
      <c r="P60" s="90" t="s">
        <v>43</v>
      </c>
      <c r="Q60" s="82" t="s">
        <v>43</v>
      </c>
      <c r="R60" s="83"/>
      <c r="S60" s="91" t="str">
        <f ca="1">IFERROR(IF(OR(P60="Contratado",P60="No corresponde atención OGTI",P60="Desistido"),"-",IF('Seguimiento OIT_Backup'!$R60="","-",NETWORKDAYS('Seguimiento OIT_Backup'!$R60,TODAY(),{"02/04/2026";"03/04/2026"}))),"-")</f>
        <v>-</v>
      </c>
      <c r="T60" s="91" t="str">
        <f ca="1">IFERROR(IF(OR(D60="-",D60="",P60="Contratado"),"-",TODAY()-'Seguimiento OIT_Backup'!$D60),"-")</f>
        <v>-</v>
      </c>
      <c r="U60" s="78" t="s">
        <v>43</v>
      </c>
      <c r="V60" s="82"/>
      <c r="W60" s="83"/>
      <c r="X60" s="78"/>
      <c r="Y60" s="80" t="s">
        <v>43</v>
      </c>
      <c r="Z60" s="79"/>
      <c r="AA60" s="80" t="s">
        <v>43</v>
      </c>
      <c r="AB60" s="88" t="s">
        <v>43</v>
      </c>
      <c r="AC60" s="91" t="str">
        <f t="shared" ca="1" si="3"/>
        <v>-</v>
      </c>
      <c r="AD60" s="92" t="str">
        <f>CONCATENATE('Seguimiento OIT_Backup'!$U60," ",'Seguimiento OIT_Backup'!$V60)</f>
        <v xml:space="preserve">- </v>
      </c>
      <c r="AE60" s="93" t="str">
        <f t="shared" si="4"/>
        <v>-</v>
      </c>
      <c r="AF60" s="94" t="str">
        <f t="shared" si="5"/>
        <v>-</v>
      </c>
      <c r="AG60" s="80" t="s">
        <v>43</v>
      </c>
      <c r="AH60" s="85"/>
      <c r="AI60" s="85"/>
      <c r="AJ60" s="95" t="str">
        <f>IFERROR(IF(OR(AH60="-",AH60="",AI60="-",AI60=""),"-",CONCATENATE('Seguimiento OIT_Backup'!AI60-'Seguimiento OIT_Backup'!AH60+1," dias")),"-")</f>
        <v>-</v>
      </c>
      <c r="AK60" s="80"/>
      <c r="AL60" s="35"/>
      <c r="AM60" s="35"/>
    </row>
    <row r="61" spans="1:39" ht="43.9" customHeight="1">
      <c r="A61" s="88"/>
      <c r="B61" s="88" t="s">
        <v>43</v>
      </c>
      <c r="C61" s="88" t="s">
        <v>43</v>
      </c>
      <c r="D61" s="83" t="s">
        <v>43</v>
      </c>
      <c r="E61" s="83" t="s">
        <v>43</v>
      </c>
      <c r="F61" s="84"/>
      <c r="G61" s="89" t="s">
        <v>43</v>
      </c>
      <c r="H61" s="84"/>
      <c r="I61" s="83"/>
      <c r="J61" s="83" t="s">
        <v>43</v>
      </c>
      <c r="K61" s="80" t="s">
        <v>43</v>
      </c>
      <c r="L61" s="80" t="s">
        <v>43</v>
      </c>
      <c r="M61" s="80" t="s">
        <v>43</v>
      </c>
      <c r="N61" s="81"/>
      <c r="O61" s="86"/>
      <c r="P61" s="90" t="s">
        <v>43</v>
      </c>
      <c r="Q61" s="82" t="s">
        <v>43</v>
      </c>
      <c r="R61" s="83"/>
      <c r="S61" s="91" t="str">
        <f ca="1">IFERROR(IF(OR(P61="Contratado",P61="No corresponde atención OGTI",P61="Desistido"),"-",IF('Seguimiento OIT_Backup'!$R61="","-",NETWORKDAYS('Seguimiento OIT_Backup'!$R61,TODAY(),{"02/04/2026";"03/04/2026"}))),"-")</f>
        <v>-</v>
      </c>
      <c r="T61" s="91" t="str">
        <f ca="1">IFERROR(IF(OR(D61="-",D61="",P61="Contratado"),"-",TODAY()-'Seguimiento OIT_Backup'!$D61),"-")</f>
        <v>-</v>
      </c>
      <c r="U61" s="78" t="s">
        <v>43</v>
      </c>
      <c r="V61" s="82"/>
      <c r="W61" s="83"/>
      <c r="X61" s="78"/>
      <c r="Y61" s="80" t="s">
        <v>43</v>
      </c>
      <c r="Z61" s="79"/>
      <c r="AA61" s="80" t="s">
        <v>43</v>
      </c>
      <c r="AB61" s="88" t="s">
        <v>43</v>
      </c>
      <c r="AC61" s="91" t="str">
        <f t="shared" ca="1" si="3"/>
        <v>-</v>
      </c>
      <c r="AD61" s="92" t="str">
        <f>CONCATENATE('Seguimiento OIT_Backup'!$U61," ",'Seguimiento OIT_Backup'!$V61)</f>
        <v xml:space="preserve">- </v>
      </c>
      <c r="AE61" s="93" t="str">
        <f t="shared" si="4"/>
        <v>-</v>
      </c>
      <c r="AF61" s="94" t="str">
        <f t="shared" si="5"/>
        <v>-</v>
      </c>
      <c r="AG61" s="80" t="s">
        <v>43</v>
      </c>
      <c r="AH61" s="85"/>
      <c r="AI61" s="85"/>
      <c r="AJ61" s="95" t="str">
        <f>IFERROR(IF(OR(AH61="-",AH61="",AI61="-",AI61=""),"-",CONCATENATE('Seguimiento OIT_Backup'!AI61-'Seguimiento OIT_Backup'!AH61+1," dias")),"-")</f>
        <v>-</v>
      </c>
      <c r="AK61" s="80"/>
      <c r="AL61" s="35"/>
      <c r="AM61" s="35"/>
    </row>
    <row r="62" spans="1:39" ht="43.9" customHeight="1">
      <c r="A62" s="88"/>
      <c r="B62" s="88" t="s">
        <v>43</v>
      </c>
      <c r="C62" s="88" t="s">
        <v>43</v>
      </c>
      <c r="D62" s="83" t="s">
        <v>43</v>
      </c>
      <c r="E62" s="83" t="s">
        <v>43</v>
      </c>
      <c r="F62" s="84"/>
      <c r="G62" s="89" t="s">
        <v>43</v>
      </c>
      <c r="H62" s="84"/>
      <c r="I62" s="83"/>
      <c r="J62" s="83" t="s">
        <v>43</v>
      </c>
      <c r="K62" s="80" t="s">
        <v>43</v>
      </c>
      <c r="L62" s="80" t="s">
        <v>43</v>
      </c>
      <c r="M62" s="80" t="s">
        <v>43</v>
      </c>
      <c r="N62" s="81"/>
      <c r="O62" s="86"/>
      <c r="P62" s="90" t="s">
        <v>43</v>
      </c>
      <c r="Q62" s="82" t="s">
        <v>43</v>
      </c>
      <c r="R62" s="83"/>
      <c r="S62" s="91" t="str">
        <f ca="1">IFERROR(IF(OR(P62="Contratado",P62="No corresponde atención OGTI",P62="Desistido"),"-",IF('Seguimiento OIT_Backup'!$R62="","-",NETWORKDAYS('Seguimiento OIT_Backup'!$R62,TODAY(),{"02/04/2026";"03/04/2026"}))),"-")</f>
        <v>-</v>
      </c>
      <c r="T62" s="91" t="str">
        <f ca="1">IFERROR(IF(OR(D62="-",D62="",P62="Contratado"),"-",TODAY()-'Seguimiento OIT_Backup'!$D62),"-")</f>
        <v>-</v>
      </c>
      <c r="U62" s="78" t="s">
        <v>43</v>
      </c>
      <c r="V62" s="82"/>
      <c r="W62" s="83"/>
      <c r="X62" s="78"/>
      <c r="Y62" s="80" t="s">
        <v>43</v>
      </c>
      <c r="Z62" s="79"/>
      <c r="AA62" s="80" t="s">
        <v>43</v>
      </c>
      <c r="AB62" s="88" t="s">
        <v>43</v>
      </c>
      <c r="AC62" s="91" t="str">
        <f t="shared" ca="1" si="3"/>
        <v>-</v>
      </c>
      <c r="AD62" s="92" t="str">
        <f>CONCATENATE('Seguimiento OIT_Backup'!$U62," ",'Seguimiento OIT_Backup'!$V62)</f>
        <v xml:space="preserve">- </v>
      </c>
      <c r="AE62" s="93" t="str">
        <f t="shared" si="4"/>
        <v>-</v>
      </c>
      <c r="AF62" s="94" t="str">
        <f t="shared" si="5"/>
        <v>-</v>
      </c>
      <c r="AG62" s="80" t="s">
        <v>43</v>
      </c>
      <c r="AH62" s="85"/>
      <c r="AI62" s="85"/>
      <c r="AJ62" s="95" t="str">
        <f>IFERROR(IF(OR(AH62="-",AH62="",AI62="-",AI62=""),"-",CONCATENATE('Seguimiento OIT_Backup'!AI62-'Seguimiento OIT_Backup'!AH62+1," dias")),"-")</f>
        <v>-</v>
      </c>
      <c r="AK62" s="80"/>
      <c r="AL62" s="35"/>
      <c r="AM62" s="35"/>
    </row>
    <row r="63" spans="1:39" ht="43.9" customHeight="1">
      <c r="A63" s="88"/>
      <c r="B63" s="88" t="s">
        <v>43</v>
      </c>
      <c r="C63" s="88" t="s">
        <v>43</v>
      </c>
      <c r="D63" s="83" t="s">
        <v>43</v>
      </c>
      <c r="E63" s="83" t="s">
        <v>43</v>
      </c>
      <c r="F63" s="84"/>
      <c r="G63" s="89" t="s">
        <v>43</v>
      </c>
      <c r="H63" s="84"/>
      <c r="I63" s="83"/>
      <c r="J63" s="83" t="s">
        <v>43</v>
      </c>
      <c r="K63" s="80" t="s">
        <v>43</v>
      </c>
      <c r="L63" s="80" t="s">
        <v>43</v>
      </c>
      <c r="M63" s="80" t="s">
        <v>43</v>
      </c>
      <c r="N63" s="81"/>
      <c r="O63" s="86"/>
      <c r="P63" s="90" t="s">
        <v>43</v>
      </c>
      <c r="Q63" s="82" t="s">
        <v>43</v>
      </c>
      <c r="R63" s="83"/>
      <c r="S63" s="91" t="str">
        <f ca="1">IFERROR(IF(OR(P63="Contratado",P63="No corresponde atención OGTI",P63="Desistido"),"-",IF('Seguimiento OIT_Backup'!$R63="","-",NETWORKDAYS('Seguimiento OIT_Backup'!$R63,TODAY(),{"02/04/2026";"03/04/2026"}))),"-")</f>
        <v>-</v>
      </c>
      <c r="T63" s="91" t="str">
        <f ca="1">IFERROR(IF(OR(D63="-",D63="",P63="Contratado"),"-",TODAY()-'Seguimiento OIT_Backup'!$D63),"-")</f>
        <v>-</v>
      </c>
      <c r="U63" s="78" t="s">
        <v>43</v>
      </c>
      <c r="V63" s="82"/>
      <c r="W63" s="83"/>
      <c r="X63" s="78"/>
      <c r="Y63" s="80" t="s">
        <v>43</v>
      </c>
      <c r="Z63" s="79"/>
      <c r="AA63" s="80" t="s">
        <v>43</v>
      </c>
      <c r="AB63" s="88" t="s">
        <v>43</v>
      </c>
      <c r="AC63" s="91" t="str">
        <f t="shared" ca="1" si="3"/>
        <v>-</v>
      </c>
      <c r="AD63" s="92" t="str">
        <f>CONCATENATE('Seguimiento OIT_Backup'!$U63," ",'Seguimiento OIT_Backup'!$V63)</f>
        <v xml:space="preserve">- </v>
      </c>
      <c r="AE63" s="93" t="str">
        <f t="shared" si="4"/>
        <v>-</v>
      </c>
      <c r="AF63" s="94" t="str">
        <f t="shared" si="5"/>
        <v>-</v>
      </c>
      <c r="AG63" s="80" t="s">
        <v>43</v>
      </c>
      <c r="AH63" s="85"/>
      <c r="AI63" s="85"/>
      <c r="AJ63" s="95" t="str">
        <f>IFERROR(IF(OR(AH63="-",AH63="",AI63="-",AI63=""),"-",CONCATENATE('Seguimiento OIT_Backup'!AI63-'Seguimiento OIT_Backup'!AH63+1," dias")),"-")</f>
        <v>-</v>
      </c>
      <c r="AK63" s="80"/>
      <c r="AL63" s="35"/>
      <c r="AM63" s="35"/>
    </row>
    <row r="64" spans="1:39" ht="43.9" customHeight="1">
      <c r="A64" s="88"/>
      <c r="B64" s="88" t="s">
        <v>43</v>
      </c>
      <c r="C64" s="88" t="s">
        <v>43</v>
      </c>
      <c r="D64" s="83" t="s">
        <v>43</v>
      </c>
      <c r="E64" s="83" t="s">
        <v>43</v>
      </c>
      <c r="F64" s="84"/>
      <c r="G64" s="89" t="s">
        <v>43</v>
      </c>
      <c r="H64" s="84"/>
      <c r="I64" s="83"/>
      <c r="J64" s="83" t="s">
        <v>43</v>
      </c>
      <c r="K64" s="80" t="s">
        <v>43</v>
      </c>
      <c r="L64" s="80" t="s">
        <v>43</v>
      </c>
      <c r="M64" s="80" t="s">
        <v>43</v>
      </c>
      <c r="N64" s="81"/>
      <c r="O64" s="86"/>
      <c r="P64" s="90" t="s">
        <v>43</v>
      </c>
      <c r="Q64" s="82" t="s">
        <v>43</v>
      </c>
      <c r="R64" s="83"/>
      <c r="S64" s="91" t="str">
        <f ca="1">IFERROR(IF(OR(P64="Contratado",P64="No corresponde atención OGTI",P64="Desistido"),"-",IF('Seguimiento OIT_Backup'!$R64="","-",NETWORKDAYS('Seguimiento OIT_Backup'!$R64,TODAY(),{"02/04/2026";"03/04/2026"}))),"-")</f>
        <v>-</v>
      </c>
      <c r="T64" s="91" t="str">
        <f ca="1">IFERROR(IF(OR(D64="-",D64="",P64="Contratado"),"-",TODAY()-'Seguimiento OIT_Backup'!$D64),"-")</f>
        <v>-</v>
      </c>
      <c r="U64" s="78" t="s">
        <v>43</v>
      </c>
      <c r="V64" s="82"/>
      <c r="W64" s="83"/>
      <c r="X64" s="78"/>
      <c r="Y64" s="80" t="s">
        <v>43</v>
      </c>
      <c r="Z64" s="79"/>
      <c r="AA64" s="80" t="s">
        <v>43</v>
      </c>
      <c r="AB64" s="88" t="s">
        <v>43</v>
      </c>
      <c r="AC64" s="91" t="str">
        <f t="shared" ca="1" si="3"/>
        <v>-</v>
      </c>
      <c r="AD64" s="92" t="str">
        <f>CONCATENATE('Seguimiento OIT_Backup'!$U64," ",'Seguimiento OIT_Backup'!$V64)</f>
        <v xml:space="preserve">- </v>
      </c>
      <c r="AE64" s="93" t="str">
        <f t="shared" si="4"/>
        <v>-</v>
      </c>
      <c r="AF64" s="94" t="str">
        <f t="shared" si="5"/>
        <v>-</v>
      </c>
      <c r="AG64" s="80" t="s">
        <v>43</v>
      </c>
      <c r="AH64" s="85"/>
      <c r="AI64" s="85"/>
      <c r="AJ64" s="95" t="str">
        <f>IFERROR(IF(OR(AH64="-",AH64="",AI64="-",AI64=""),"-",CONCATENATE('Seguimiento OIT_Backup'!AI64-'Seguimiento OIT_Backup'!AH64+1," dias")),"-")</f>
        <v>-</v>
      </c>
      <c r="AK64" s="80"/>
      <c r="AL64" s="35"/>
      <c r="AM64" s="35"/>
    </row>
    <row r="65" spans="1:39" ht="43.9" customHeight="1">
      <c r="A65" s="88"/>
      <c r="B65" s="88" t="s">
        <v>43</v>
      </c>
      <c r="C65" s="88" t="s">
        <v>43</v>
      </c>
      <c r="D65" s="83" t="s">
        <v>43</v>
      </c>
      <c r="E65" s="83" t="s">
        <v>43</v>
      </c>
      <c r="F65" s="84"/>
      <c r="G65" s="89" t="s">
        <v>43</v>
      </c>
      <c r="H65" s="84"/>
      <c r="I65" s="83"/>
      <c r="J65" s="83" t="s">
        <v>43</v>
      </c>
      <c r="K65" s="80" t="s">
        <v>43</v>
      </c>
      <c r="L65" s="80" t="s">
        <v>43</v>
      </c>
      <c r="M65" s="80" t="s">
        <v>43</v>
      </c>
      <c r="N65" s="81"/>
      <c r="O65" s="86"/>
      <c r="P65" s="90" t="s">
        <v>43</v>
      </c>
      <c r="Q65" s="82" t="s">
        <v>43</v>
      </c>
      <c r="R65" s="83"/>
      <c r="S65" s="91" t="str">
        <f ca="1">IFERROR(IF(OR(P65="Contratado",P65="No corresponde atención OGTI",P65="Desistido"),"-",IF('Seguimiento OIT_Backup'!$R65="","-",NETWORKDAYS('Seguimiento OIT_Backup'!$R65,TODAY(),{"02/04/2026";"03/04/2026"}))),"-")</f>
        <v>-</v>
      </c>
      <c r="T65" s="91" t="str">
        <f ca="1">IFERROR(IF(OR(D65="-",D65="",P65="Contratado"),"-",TODAY()-'Seguimiento OIT_Backup'!$D65),"-")</f>
        <v>-</v>
      </c>
      <c r="U65" s="78" t="s">
        <v>43</v>
      </c>
      <c r="V65" s="82"/>
      <c r="W65" s="83"/>
      <c r="X65" s="78"/>
      <c r="Y65" s="80" t="s">
        <v>43</v>
      </c>
      <c r="Z65" s="79"/>
      <c r="AA65" s="80" t="s">
        <v>43</v>
      </c>
      <c r="AB65" s="88" t="s">
        <v>43</v>
      </c>
      <c r="AC65" s="91" t="str">
        <f t="shared" ca="1" si="3"/>
        <v>-</v>
      </c>
      <c r="AD65" s="92" t="str">
        <f>CONCATENATE('Seguimiento OIT_Backup'!$U65," ",'Seguimiento OIT_Backup'!$V65)</f>
        <v xml:space="preserve">- </v>
      </c>
      <c r="AE65" s="93" t="str">
        <f t="shared" si="4"/>
        <v>-</v>
      </c>
      <c r="AF65" s="94" t="str">
        <f t="shared" si="5"/>
        <v>-</v>
      </c>
      <c r="AG65" s="80" t="s">
        <v>43</v>
      </c>
      <c r="AH65" s="85"/>
      <c r="AI65" s="85"/>
      <c r="AJ65" s="95" t="str">
        <f>IFERROR(IF(OR(AH65="-",AH65="",AI65="-",AI65=""),"-",CONCATENATE('Seguimiento OIT_Backup'!AI65-'Seguimiento OIT_Backup'!AH65+1," dias")),"-")</f>
        <v>-</v>
      </c>
      <c r="AK65" s="80"/>
      <c r="AL65" s="35"/>
      <c r="AM65" s="35"/>
    </row>
    <row r="66" spans="1:39" ht="43.9" customHeight="1">
      <c r="A66" s="88"/>
      <c r="B66" s="88" t="s">
        <v>43</v>
      </c>
      <c r="C66" s="88" t="s">
        <v>43</v>
      </c>
      <c r="D66" s="83" t="s">
        <v>43</v>
      </c>
      <c r="E66" s="83" t="s">
        <v>43</v>
      </c>
      <c r="F66" s="84"/>
      <c r="G66" s="89" t="s">
        <v>43</v>
      </c>
      <c r="H66" s="84"/>
      <c r="I66" s="83"/>
      <c r="J66" s="83" t="s">
        <v>43</v>
      </c>
      <c r="K66" s="80" t="s">
        <v>43</v>
      </c>
      <c r="L66" s="80" t="s">
        <v>43</v>
      </c>
      <c r="M66" s="80" t="s">
        <v>43</v>
      </c>
      <c r="N66" s="81"/>
      <c r="O66" s="86"/>
      <c r="P66" s="90" t="s">
        <v>43</v>
      </c>
      <c r="Q66" s="82" t="s">
        <v>43</v>
      </c>
      <c r="R66" s="83"/>
      <c r="S66" s="91" t="str">
        <f ca="1">IFERROR(IF(OR(P66="Contratado",P66="No corresponde atención OGTI",P66="Desistido"),"-",IF('Seguimiento OIT_Backup'!$R66="","-",NETWORKDAYS('Seguimiento OIT_Backup'!$R66,TODAY(),{"02/04/2026";"03/04/2026"}))),"-")</f>
        <v>-</v>
      </c>
      <c r="T66" s="91" t="str">
        <f ca="1">IFERROR(IF(OR(D66="-",D66="",P66="Contratado"),"-",TODAY()-'Seguimiento OIT_Backup'!$D66),"-")</f>
        <v>-</v>
      </c>
      <c r="U66" s="78" t="s">
        <v>43</v>
      </c>
      <c r="V66" s="82"/>
      <c r="W66" s="83"/>
      <c r="X66" s="78"/>
      <c r="Y66" s="80" t="s">
        <v>43</v>
      </c>
      <c r="Z66" s="79"/>
      <c r="AA66" s="80" t="s">
        <v>43</v>
      </c>
      <c r="AB66" s="88" t="s">
        <v>43</v>
      </c>
      <c r="AC66" s="91" t="str">
        <f t="shared" ca="1" si="3"/>
        <v>-</v>
      </c>
      <c r="AD66" s="92" t="str">
        <f>CONCATENATE('Seguimiento OIT_Backup'!$U66," ",'Seguimiento OIT_Backup'!$V66)</f>
        <v xml:space="preserve">- </v>
      </c>
      <c r="AE66" s="93" t="str">
        <f t="shared" si="4"/>
        <v>-</v>
      </c>
      <c r="AF66" s="94" t="str">
        <f t="shared" si="5"/>
        <v>-</v>
      </c>
      <c r="AG66" s="80" t="s">
        <v>43</v>
      </c>
      <c r="AH66" s="85"/>
      <c r="AI66" s="85"/>
      <c r="AJ66" s="95" t="str">
        <f>IFERROR(IF(OR(AH66="-",AH66="",AI66="-",AI66=""),"-",CONCATENATE('Seguimiento OIT_Backup'!AI66-'Seguimiento OIT_Backup'!AH66+1," dias")),"-")</f>
        <v>-</v>
      </c>
      <c r="AK66" s="80"/>
      <c r="AL66" s="35"/>
      <c r="AM66" s="35"/>
    </row>
    <row r="67" spans="1:39" ht="43.9" customHeight="1">
      <c r="A67" s="88"/>
      <c r="B67" s="88" t="s">
        <v>43</v>
      </c>
      <c r="C67" s="88" t="s">
        <v>43</v>
      </c>
      <c r="D67" s="83" t="s">
        <v>43</v>
      </c>
      <c r="E67" s="83" t="s">
        <v>43</v>
      </c>
      <c r="F67" s="84"/>
      <c r="G67" s="89" t="s">
        <v>43</v>
      </c>
      <c r="H67" s="84"/>
      <c r="I67" s="83"/>
      <c r="J67" s="83" t="s">
        <v>43</v>
      </c>
      <c r="K67" s="80" t="s">
        <v>43</v>
      </c>
      <c r="L67" s="80" t="s">
        <v>43</v>
      </c>
      <c r="M67" s="80" t="s">
        <v>43</v>
      </c>
      <c r="N67" s="81"/>
      <c r="O67" s="86"/>
      <c r="P67" s="90" t="s">
        <v>43</v>
      </c>
      <c r="Q67" s="82" t="s">
        <v>43</v>
      </c>
      <c r="R67" s="83"/>
      <c r="S67" s="91" t="str">
        <f ca="1">IFERROR(IF(OR(P67="Contratado",P67="No corresponde atención OGTI",P67="Desistido"),"-",IF('Seguimiento OIT_Backup'!$R67="","-",NETWORKDAYS('Seguimiento OIT_Backup'!$R67,TODAY(),{"02/04/2026";"03/04/2026"}))),"-")</f>
        <v>-</v>
      </c>
      <c r="T67" s="91" t="str">
        <f ca="1">IFERROR(IF(OR(D67="-",D67="",P67="Contratado"),"-",TODAY()-'Seguimiento OIT_Backup'!$D67),"-")</f>
        <v>-</v>
      </c>
      <c r="U67" s="78" t="s">
        <v>43</v>
      </c>
      <c r="V67" s="82"/>
      <c r="W67" s="83"/>
      <c r="X67" s="78"/>
      <c r="Y67" s="80" t="s">
        <v>43</v>
      </c>
      <c r="Z67" s="79"/>
      <c r="AA67" s="80" t="s">
        <v>43</v>
      </c>
      <c r="AB67" s="88" t="s">
        <v>43</v>
      </c>
      <c r="AC67" s="91" t="str">
        <f t="shared" ca="1" si="3"/>
        <v>-</v>
      </c>
      <c r="AD67" s="92" t="str">
        <f>CONCATENATE('Seguimiento OIT_Backup'!$U67," ",'Seguimiento OIT_Backup'!$V67)</f>
        <v xml:space="preserve">- </v>
      </c>
      <c r="AE67" s="93" t="str">
        <f t="shared" si="4"/>
        <v>-</v>
      </c>
      <c r="AF67" s="94" t="str">
        <f t="shared" si="5"/>
        <v>-</v>
      </c>
      <c r="AG67" s="80" t="s">
        <v>43</v>
      </c>
      <c r="AH67" s="85"/>
      <c r="AI67" s="85"/>
      <c r="AJ67" s="95" t="str">
        <f>IFERROR(IF(OR(AH67="-",AH67="",AI67="-",AI67=""),"-",CONCATENATE('Seguimiento OIT_Backup'!AI67-'Seguimiento OIT_Backup'!AH67+1," dias")),"-")</f>
        <v>-</v>
      </c>
      <c r="AK67" s="80"/>
      <c r="AL67" s="35"/>
      <c r="AM67" s="35"/>
    </row>
    <row r="68" spans="1:39" ht="43.9" customHeight="1">
      <c r="A68" s="88"/>
      <c r="B68" s="88" t="s">
        <v>43</v>
      </c>
      <c r="C68" s="88" t="s">
        <v>43</v>
      </c>
      <c r="D68" s="83" t="s">
        <v>43</v>
      </c>
      <c r="E68" s="83" t="s">
        <v>43</v>
      </c>
      <c r="F68" s="84"/>
      <c r="G68" s="89" t="s">
        <v>43</v>
      </c>
      <c r="H68" s="84"/>
      <c r="I68" s="83"/>
      <c r="J68" s="83" t="s">
        <v>43</v>
      </c>
      <c r="K68" s="80" t="s">
        <v>43</v>
      </c>
      <c r="L68" s="80" t="s">
        <v>43</v>
      </c>
      <c r="M68" s="80" t="s">
        <v>43</v>
      </c>
      <c r="N68" s="81"/>
      <c r="O68" s="86"/>
      <c r="P68" s="90" t="s">
        <v>43</v>
      </c>
      <c r="Q68" s="82" t="s">
        <v>43</v>
      </c>
      <c r="R68" s="83"/>
      <c r="S68" s="91" t="str">
        <f ca="1">IFERROR(IF(OR(P68="Contratado",P68="No corresponde atención OGTI",P68="Desistido"),"-",IF('Seguimiento OIT_Backup'!$R68="","-",NETWORKDAYS('Seguimiento OIT_Backup'!$R68,TODAY(),{"02/04/2026";"03/04/2026"}))),"-")</f>
        <v>-</v>
      </c>
      <c r="T68" s="91" t="str">
        <f ca="1">IFERROR(IF(OR(D68="-",D68="",P68="Contratado"),"-",TODAY()-'Seguimiento OIT_Backup'!$D68),"-")</f>
        <v>-</v>
      </c>
      <c r="U68" s="78" t="s">
        <v>43</v>
      </c>
      <c r="V68" s="82"/>
      <c r="W68" s="83"/>
      <c r="X68" s="78"/>
      <c r="Y68" s="80" t="s">
        <v>43</v>
      </c>
      <c r="Z68" s="79"/>
      <c r="AA68" s="80" t="s">
        <v>43</v>
      </c>
      <c r="AB68" s="88" t="s">
        <v>43</v>
      </c>
      <c r="AC68" s="91" t="str">
        <f t="shared" ca="1" si="3"/>
        <v>-</v>
      </c>
      <c r="AD68" s="92" t="str">
        <f>CONCATENATE('Seguimiento OIT_Backup'!$U68," ",'Seguimiento OIT_Backup'!$V68)</f>
        <v xml:space="preserve">- </v>
      </c>
      <c r="AE68" s="93" t="str">
        <f t="shared" si="4"/>
        <v>-</v>
      </c>
      <c r="AF68" s="94" t="str">
        <f t="shared" si="5"/>
        <v>-</v>
      </c>
      <c r="AG68" s="80" t="s">
        <v>43</v>
      </c>
      <c r="AH68" s="85"/>
      <c r="AI68" s="85"/>
      <c r="AJ68" s="95" t="str">
        <f>IFERROR(IF(OR(AH68="-",AH68="",AI68="-",AI68=""),"-",CONCATENATE('Seguimiento OIT_Backup'!AI68-'Seguimiento OIT_Backup'!AH68+1," dias")),"-")</f>
        <v>-</v>
      </c>
      <c r="AK68" s="80"/>
      <c r="AL68" s="35"/>
      <c r="AM68" s="35"/>
    </row>
    <row r="69" spans="1:39" ht="43.9" customHeight="1">
      <c r="A69" s="88"/>
      <c r="B69" s="88" t="s">
        <v>43</v>
      </c>
      <c r="C69" s="88" t="s">
        <v>43</v>
      </c>
      <c r="D69" s="83" t="s">
        <v>43</v>
      </c>
      <c r="E69" s="83" t="s">
        <v>43</v>
      </c>
      <c r="F69" s="84"/>
      <c r="G69" s="89" t="s">
        <v>43</v>
      </c>
      <c r="H69" s="84"/>
      <c r="I69" s="83"/>
      <c r="J69" s="83" t="s">
        <v>43</v>
      </c>
      <c r="K69" s="80" t="s">
        <v>43</v>
      </c>
      <c r="L69" s="80" t="s">
        <v>43</v>
      </c>
      <c r="M69" s="80" t="s">
        <v>43</v>
      </c>
      <c r="N69" s="81"/>
      <c r="O69" s="86"/>
      <c r="P69" s="90" t="s">
        <v>43</v>
      </c>
      <c r="Q69" s="82" t="s">
        <v>43</v>
      </c>
      <c r="R69" s="83"/>
      <c r="S69" s="91" t="str">
        <f ca="1">IFERROR(IF(OR(P69="Contratado",P69="No corresponde atención OGTI",P69="Desistido"),"-",IF('Seguimiento OIT_Backup'!$R69="","-",NETWORKDAYS('Seguimiento OIT_Backup'!$R69,TODAY(),{"02/04/2026";"03/04/2026"}))),"-")</f>
        <v>-</v>
      </c>
      <c r="T69" s="91" t="str">
        <f ca="1">IFERROR(IF(OR(D69="-",D69="",P69="Contratado"),"-",TODAY()-'Seguimiento OIT_Backup'!$D69),"-")</f>
        <v>-</v>
      </c>
      <c r="U69" s="78" t="s">
        <v>43</v>
      </c>
      <c r="V69" s="82"/>
      <c r="W69" s="83"/>
      <c r="X69" s="78"/>
      <c r="Y69" s="80" t="s">
        <v>43</v>
      </c>
      <c r="Z69" s="79"/>
      <c r="AA69" s="80" t="s">
        <v>43</v>
      </c>
      <c r="AB69" s="88" t="s">
        <v>43</v>
      </c>
      <c r="AC69" s="91" t="str">
        <f t="shared" ca="1" si="3"/>
        <v>-</v>
      </c>
      <c r="AD69" s="92" t="str">
        <f>CONCATENATE('Seguimiento OIT_Backup'!$U69," ",'Seguimiento OIT_Backup'!$V69)</f>
        <v xml:space="preserve">- </v>
      </c>
      <c r="AE69" s="93" t="str">
        <f t="shared" si="4"/>
        <v>-</v>
      </c>
      <c r="AF69" s="94" t="str">
        <f t="shared" si="5"/>
        <v>-</v>
      </c>
      <c r="AG69" s="80" t="s">
        <v>43</v>
      </c>
      <c r="AH69" s="85"/>
      <c r="AI69" s="85"/>
      <c r="AJ69" s="95" t="str">
        <f>IFERROR(IF(OR(AH69="-",AH69="",AI69="-",AI69=""),"-",CONCATENATE('Seguimiento OIT_Backup'!AI69-'Seguimiento OIT_Backup'!AH69+1," dias")),"-")</f>
        <v>-</v>
      </c>
      <c r="AK69" s="80"/>
      <c r="AL69" s="35"/>
      <c r="AM69" s="35"/>
    </row>
    <row r="70" spans="1:39" ht="43.9" customHeight="1">
      <c r="A70" s="88"/>
      <c r="B70" s="88" t="s">
        <v>43</v>
      </c>
      <c r="C70" s="88" t="s">
        <v>43</v>
      </c>
      <c r="D70" s="83" t="s">
        <v>43</v>
      </c>
      <c r="E70" s="83" t="s">
        <v>43</v>
      </c>
      <c r="F70" s="84"/>
      <c r="G70" s="89" t="s">
        <v>43</v>
      </c>
      <c r="H70" s="84"/>
      <c r="I70" s="83"/>
      <c r="J70" s="83" t="s">
        <v>43</v>
      </c>
      <c r="K70" s="80" t="s">
        <v>43</v>
      </c>
      <c r="L70" s="80" t="s">
        <v>43</v>
      </c>
      <c r="M70" s="80" t="s">
        <v>43</v>
      </c>
      <c r="N70" s="81"/>
      <c r="O70" s="86"/>
      <c r="P70" s="90" t="s">
        <v>43</v>
      </c>
      <c r="Q70" s="82" t="s">
        <v>43</v>
      </c>
      <c r="R70" s="83"/>
      <c r="S70" s="91" t="str">
        <f ca="1">IFERROR(IF(OR(P70="Contratado",P70="No corresponde atención OGTI",P70="Desistido"),"-",IF('Seguimiento OIT_Backup'!$R70="","-",NETWORKDAYS('Seguimiento OIT_Backup'!$R70,TODAY(),{"02/04/2026";"03/04/2026"}))),"-")</f>
        <v>-</v>
      </c>
      <c r="T70" s="91" t="str">
        <f ca="1">IFERROR(IF(OR(D70="-",D70="",P70="Contratado"),"-",TODAY()-'Seguimiento OIT_Backup'!$D70),"-")</f>
        <v>-</v>
      </c>
      <c r="U70" s="78" t="s">
        <v>43</v>
      </c>
      <c r="V70" s="82"/>
      <c r="W70" s="83"/>
      <c r="X70" s="78"/>
      <c r="Y70" s="80" t="s">
        <v>43</v>
      </c>
      <c r="Z70" s="79"/>
      <c r="AA70" s="80" t="s">
        <v>43</v>
      </c>
      <c r="AB70" s="88" t="s">
        <v>43</v>
      </c>
      <c r="AC70" s="91" t="str">
        <f t="shared" ca="1" si="3"/>
        <v>-</v>
      </c>
      <c r="AD70" s="92" t="str">
        <f>CONCATENATE('Seguimiento OIT_Backup'!$U70," ",'Seguimiento OIT_Backup'!$V70)</f>
        <v xml:space="preserve">- </v>
      </c>
      <c r="AE70" s="93" t="str">
        <f t="shared" si="4"/>
        <v>-</v>
      </c>
      <c r="AF70" s="94" t="str">
        <f t="shared" si="5"/>
        <v>-</v>
      </c>
      <c r="AG70" s="80" t="s">
        <v>43</v>
      </c>
      <c r="AH70" s="85"/>
      <c r="AI70" s="85"/>
      <c r="AJ70" s="95" t="str">
        <f>IFERROR(IF(OR(AH70="-",AH70="",AI70="-",AI70=""),"-",CONCATENATE('Seguimiento OIT_Backup'!AI70-'Seguimiento OIT_Backup'!AH70+1," dias")),"-")</f>
        <v>-</v>
      </c>
      <c r="AK70" s="80"/>
      <c r="AL70" s="35"/>
      <c r="AM70" s="35"/>
    </row>
    <row r="71" spans="1:39" ht="43.9" customHeight="1">
      <c r="A71" s="88"/>
      <c r="B71" s="88" t="s">
        <v>43</v>
      </c>
      <c r="C71" s="88" t="s">
        <v>43</v>
      </c>
      <c r="D71" s="83" t="s">
        <v>43</v>
      </c>
      <c r="E71" s="83" t="s">
        <v>43</v>
      </c>
      <c r="F71" s="84"/>
      <c r="G71" s="89" t="s">
        <v>43</v>
      </c>
      <c r="H71" s="84"/>
      <c r="I71" s="83"/>
      <c r="J71" s="83" t="s">
        <v>43</v>
      </c>
      <c r="K71" s="80" t="s">
        <v>43</v>
      </c>
      <c r="L71" s="80" t="s">
        <v>43</v>
      </c>
      <c r="M71" s="80" t="s">
        <v>43</v>
      </c>
      <c r="N71" s="81"/>
      <c r="O71" s="86"/>
      <c r="P71" s="90" t="s">
        <v>43</v>
      </c>
      <c r="Q71" s="82" t="s">
        <v>43</v>
      </c>
      <c r="R71" s="83"/>
      <c r="S71" s="91" t="str">
        <f ca="1">IFERROR(IF(OR(P71="Contratado",P71="No corresponde atención OGTI",P71="Desistido"),"-",IF('Seguimiento OIT_Backup'!$R71="","-",NETWORKDAYS('Seguimiento OIT_Backup'!$R71,TODAY(),{"02/04/2026";"03/04/2026"}))),"-")</f>
        <v>-</v>
      </c>
      <c r="T71" s="91" t="str">
        <f ca="1">IFERROR(IF(OR(D71="-",D71="",P71="Contratado"),"-",TODAY()-'Seguimiento OIT_Backup'!$D71),"-")</f>
        <v>-</v>
      </c>
      <c r="U71" s="78" t="s">
        <v>43</v>
      </c>
      <c r="V71" s="82"/>
      <c r="W71" s="83"/>
      <c r="X71" s="78"/>
      <c r="Y71" s="80" t="s">
        <v>43</v>
      </c>
      <c r="Z71" s="79"/>
      <c r="AA71" s="80" t="s">
        <v>43</v>
      </c>
      <c r="AB71" s="88" t="s">
        <v>43</v>
      </c>
      <c r="AC71" s="91" t="str">
        <f t="shared" ca="1" si="3"/>
        <v>-</v>
      </c>
      <c r="AD71" s="92" t="str">
        <f>CONCATENATE('Seguimiento OIT_Backup'!$U71," ",'Seguimiento OIT_Backup'!$V71)</f>
        <v xml:space="preserve">- </v>
      </c>
      <c r="AE71" s="93" t="str">
        <f t="shared" si="4"/>
        <v>-</v>
      </c>
      <c r="AF71" s="94" t="str">
        <f t="shared" si="5"/>
        <v>-</v>
      </c>
      <c r="AG71" s="80" t="s">
        <v>43</v>
      </c>
      <c r="AH71" s="85"/>
      <c r="AI71" s="85"/>
      <c r="AJ71" s="95" t="str">
        <f>IFERROR(IF(OR(AH71="-",AH71="",AI71="-",AI71=""),"-",CONCATENATE('Seguimiento OIT_Backup'!AI71-'Seguimiento OIT_Backup'!AH71+1," dias")),"-")</f>
        <v>-</v>
      </c>
      <c r="AK71" s="80"/>
      <c r="AL71" s="35"/>
      <c r="AM71" s="35"/>
    </row>
    <row r="72" spans="1:39" ht="43.9" customHeight="1">
      <c r="A72" s="88"/>
      <c r="B72" s="88" t="s">
        <v>43</v>
      </c>
      <c r="C72" s="88" t="s">
        <v>43</v>
      </c>
      <c r="D72" s="83" t="s">
        <v>43</v>
      </c>
      <c r="E72" s="83" t="s">
        <v>43</v>
      </c>
      <c r="F72" s="84"/>
      <c r="G72" s="89" t="s">
        <v>43</v>
      </c>
      <c r="H72" s="84"/>
      <c r="I72" s="83"/>
      <c r="J72" s="83" t="s">
        <v>43</v>
      </c>
      <c r="K72" s="80" t="s">
        <v>43</v>
      </c>
      <c r="L72" s="80" t="s">
        <v>43</v>
      </c>
      <c r="M72" s="80" t="s">
        <v>43</v>
      </c>
      <c r="N72" s="81"/>
      <c r="O72" s="86"/>
      <c r="P72" s="90" t="s">
        <v>43</v>
      </c>
      <c r="Q72" s="82" t="s">
        <v>43</v>
      </c>
      <c r="R72" s="83"/>
      <c r="S72" s="91" t="str">
        <f ca="1">IFERROR(IF(OR(P72="Contratado",P72="No corresponde atención OGTI",P72="Desistido"),"-",IF('Seguimiento OIT_Backup'!$R72="","-",NETWORKDAYS('Seguimiento OIT_Backup'!$R72,TODAY(),{"02/04/2026";"03/04/2026"}))),"-")</f>
        <v>-</v>
      </c>
      <c r="T72" s="91" t="str">
        <f ca="1">IFERROR(IF(OR(D72="-",D72="",P72="Contratado"),"-",TODAY()-'Seguimiento OIT_Backup'!$D72),"-")</f>
        <v>-</v>
      </c>
      <c r="U72" s="78" t="s">
        <v>43</v>
      </c>
      <c r="V72" s="82"/>
      <c r="W72" s="83"/>
      <c r="X72" s="78"/>
      <c r="Y72" s="80" t="s">
        <v>43</v>
      </c>
      <c r="Z72" s="79"/>
      <c r="AA72" s="80" t="s">
        <v>43</v>
      </c>
      <c r="AB72" s="88" t="s">
        <v>43</v>
      </c>
      <c r="AC72" s="91" t="str">
        <f t="shared" ca="1" si="3"/>
        <v>-</v>
      </c>
      <c r="AD72" s="92" t="str">
        <f>CONCATENATE('Seguimiento OIT_Backup'!$U72," ",'Seguimiento OIT_Backup'!$V72)</f>
        <v xml:space="preserve">- </v>
      </c>
      <c r="AE72" s="93" t="str">
        <f t="shared" si="4"/>
        <v>-</v>
      </c>
      <c r="AF72" s="94" t="str">
        <f t="shared" si="5"/>
        <v>-</v>
      </c>
      <c r="AG72" s="80" t="s">
        <v>43</v>
      </c>
      <c r="AH72" s="85"/>
      <c r="AI72" s="85"/>
      <c r="AJ72" s="95" t="str">
        <f>IFERROR(IF(OR(AH72="-",AH72="",AI72="-",AI72=""),"-",CONCATENATE('Seguimiento OIT_Backup'!AI72-'Seguimiento OIT_Backup'!AH72+1," dias")),"-")</f>
        <v>-</v>
      </c>
      <c r="AK72" s="80"/>
      <c r="AL72" s="35"/>
      <c r="AM72" s="35"/>
    </row>
    <row r="73" spans="1:39" ht="43.9" customHeight="1">
      <c r="A73" s="88"/>
      <c r="B73" s="88" t="s">
        <v>43</v>
      </c>
      <c r="C73" s="88" t="s">
        <v>43</v>
      </c>
      <c r="D73" s="83" t="s">
        <v>43</v>
      </c>
      <c r="E73" s="83" t="s">
        <v>43</v>
      </c>
      <c r="F73" s="84"/>
      <c r="G73" s="89" t="s">
        <v>43</v>
      </c>
      <c r="H73" s="84"/>
      <c r="I73" s="83"/>
      <c r="J73" s="83" t="s">
        <v>43</v>
      </c>
      <c r="K73" s="80" t="s">
        <v>43</v>
      </c>
      <c r="L73" s="80" t="s">
        <v>43</v>
      </c>
      <c r="M73" s="80" t="s">
        <v>43</v>
      </c>
      <c r="N73" s="81"/>
      <c r="O73" s="86"/>
      <c r="P73" s="90" t="s">
        <v>43</v>
      </c>
      <c r="Q73" s="82" t="s">
        <v>43</v>
      </c>
      <c r="R73" s="83"/>
      <c r="S73" s="91" t="str">
        <f ca="1">IFERROR(IF(OR(P73="Contratado",P73="No corresponde atención OGTI",P73="Desistido"),"-",IF('Seguimiento OIT_Backup'!$R73="","-",NETWORKDAYS('Seguimiento OIT_Backup'!$R73,TODAY(),{"02/04/2026";"03/04/2026"}))),"-")</f>
        <v>-</v>
      </c>
      <c r="T73" s="91" t="str">
        <f ca="1">IFERROR(IF(OR(D73="-",D73="",P73="Contratado"),"-",TODAY()-'Seguimiento OIT_Backup'!$D73),"-")</f>
        <v>-</v>
      </c>
      <c r="U73" s="78" t="s">
        <v>43</v>
      </c>
      <c r="V73" s="82"/>
      <c r="W73" s="83"/>
      <c r="X73" s="78"/>
      <c r="Y73" s="80" t="s">
        <v>43</v>
      </c>
      <c r="Z73" s="79"/>
      <c r="AA73" s="80" t="s">
        <v>43</v>
      </c>
      <c r="AB73" s="88" t="s">
        <v>43</v>
      </c>
      <c r="AC73" s="91" t="str">
        <f t="shared" ca="1" si="3"/>
        <v>-</v>
      </c>
      <c r="AD73" s="92" t="str">
        <f>CONCATENATE('Seguimiento OIT_Backup'!$U73," ",'Seguimiento OIT_Backup'!$V73)</f>
        <v xml:space="preserve">- </v>
      </c>
      <c r="AE73" s="93" t="str">
        <f t="shared" si="4"/>
        <v>-</v>
      </c>
      <c r="AF73" s="94" t="str">
        <f t="shared" si="5"/>
        <v>-</v>
      </c>
      <c r="AG73" s="80" t="s">
        <v>43</v>
      </c>
      <c r="AH73" s="85"/>
      <c r="AI73" s="85"/>
      <c r="AJ73" s="95" t="str">
        <f>IFERROR(IF(OR(AH73="-",AH73="",AI73="-",AI73=""),"-",CONCATENATE('Seguimiento OIT_Backup'!AI73-'Seguimiento OIT_Backup'!AH73+1," dias")),"-")</f>
        <v>-</v>
      </c>
      <c r="AK73" s="80"/>
      <c r="AL73" s="35"/>
      <c r="AM73" s="35"/>
    </row>
    <row r="74" spans="1:39" ht="43.9" customHeight="1">
      <c r="A74" s="88"/>
      <c r="B74" s="88" t="s">
        <v>43</v>
      </c>
      <c r="C74" s="88" t="s">
        <v>43</v>
      </c>
      <c r="D74" s="83" t="s">
        <v>43</v>
      </c>
      <c r="E74" s="83" t="s">
        <v>43</v>
      </c>
      <c r="F74" s="84"/>
      <c r="G74" s="89" t="s">
        <v>43</v>
      </c>
      <c r="H74" s="84"/>
      <c r="I74" s="83"/>
      <c r="J74" s="83" t="s">
        <v>43</v>
      </c>
      <c r="K74" s="80" t="s">
        <v>43</v>
      </c>
      <c r="L74" s="80" t="s">
        <v>43</v>
      </c>
      <c r="M74" s="80" t="s">
        <v>43</v>
      </c>
      <c r="N74" s="81"/>
      <c r="O74" s="86"/>
      <c r="P74" s="90" t="s">
        <v>43</v>
      </c>
      <c r="Q74" s="82" t="s">
        <v>43</v>
      </c>
      <c r="R74" s="83"/>
      <c r="S74" s="91" t="str">
        <f ca="1">IFERROR(IF(OR(P74="Contratado",P74="No corresponde atención OGTI",P74="Desistido"),"-",IF('Seguimiento OIT_Backup'!$R74="","-",NETWORKDAYS('Seguimiento OIT_Backup'!$R74,TODAY(),{"02/04/2026";"03/04/2026"}))),"-")</f>
        <v>-</v>
      </c>
      <c r="T74" s="91" t="str">
        <f ca="1">IFERROR(IF(OR(D74="-",D74="",P74="Contratado"),"-",TODAY()-'Seguimiento OIT_Backup'!$D74),"-")</f>
        <v>-</v>
      </c>
      <c r="U74" s="78" t="s">
        <v>43</v>
      </c>
      <c r="V74" s="82"/>
      <c r="W74" s="83"/>
      <c r="X74" s="78"/>
      <c r="Y74" s="80" t="s">
        <v>43</v>
      </c>
      <c r="Z74" s="79"/>
      <c r="AA74" s="80" t="s">
        <v>43</v>
      </c>
      <c r="AB74" s="88" t="s">
        <v>43</v>
      </c>
      <c r="AC74" s="91" t="str">
        <f t="shared" ca="1" si="3"/>
        <v>-</v>
      </c>
      <c r="AD74" s="92" t="str">
        <f>CONCATENATE('Seguimiento OIT_Backup'!$U74," ",'Seguimiento OIT_Backup'!$V74)</f>
        <v xml:space="preserve">- </v>
      </c>
      <c r="AE74" s="93" t="str">
        <f t="shared" si="4"/>
        <v>-</v>
      </c>
      <c r="AF74" s="94" t="str">
        <f t="shared" si="5"/>
        <v>-</v>
      </c>
      <c r="AG74" s="80" t="s">
        <v>43</v>
      </c>
      <c r="AH74" s="85"/>
      <c r="AI74" s="85"/>
      <c r="AJ74" s="95" t="str">
        <f>IFERROR(IF(OR(AH74="-",AH74="",AI74="-",AI74=""),"-",CONCATENATE('Seguimiento OIT_Backup'!AI74-'Seguimiento OIT_Backup'!AH74+1," dias")),"-")</f>
        <v>-</v>
      </c>
      <c r="AK74" s="80"/>
      <c r="AL74" s="35"/>
      <c r="AM74" s="35"/>
    </row>
    <row r="75" spans="1:39" ht="43.9" customHeight="1">
      <c r="A75" s="88"/>
      <c r="B75" s="88" t="s">
        <v>43</v>
      </c>
      <c r="C75" s="88" t="s">
        <v>43</v>
      </c>
      <c r="D75" s="83" t="s">
        <v>43</v>
      </c>
      <c r="E75" s="83" t="s">
        <v>43</v>
      </c>
      <c r="F75" s="84"/>
      <c r="G75" s="89" t="s">
        <v>43</v>
      </c>
      <c r="H75" s="84"/>
      <c r="I75" s="83"/>
      <c r="J75" s="83" t="s">
        <v>43</v>
      </c>
      <c r="K75" s="80" t="s">
        <v>43</v>
      </c>
      <c r="L75" s="80" t="s">
        <v>43</v>
      </c>
      <c r="M75" s="80" t="s">
        <v>43</v>
      </c>
      <c r="N75" s="81"/>
      <c r="O75" s="86"/>
      <c r="P75" s="90" t="s">
        <v>43</v>
      </c>
      <c r="Q75" s="82" t="s">
        <v>43</v>
      </c>
      <c r="R75" s="83"/>
      <c r="S75" s="91" t="str">
        <f ca="1">IFERROR(IF(OR(P75="Contratado",P75="No corresponde atención OGTI",P75="Desistido"),"-",IF('Seguimiento OIT_Backup'!$R75="","-",NETWORKDAYS('Seguimiento OIT_Backup'!$R75,TODAY(),{"02/04/2026";"03/04/2026"}))),"-")</f>
        <v>-</v>
      </c>
      <c r="T75" s="91" t="str">
        <f ca="1">IFERROR(IF(OR(D75="-",D75="",P75="Contratado"),"-",TODAY()-'Seguimiento OIT_Backup'!$D75),"-")</f>
        <v>-</v>
      </c>
      <c r="U75" s="78" t="s">
        <v>43</v>
      </c>
      <c r="V75" s="82"/>
      <c r="W75" s="83"/>
      <c r="X75" s="78"/>
      <c r="Y75" s="80" t="s">
        <v>43</v>
      </c>
      <c r="Z75" s="79"/>
      <c r="AA75" s="80" t="s">
        <v>43</v>
      </c>
      <c r="AB75" s="88" t="s">
        <v>43</v>
      </c>
      <c r="AC75" s="91" t="str">
        <f t="shared" ca="1" si="3"/>
        <v>-</v>
      </c>
      <c r="AD75" s="92" t="str">
        <f>CONCATENATE('Seguimiento OIT_Backup'!$U75," ",'Seguimiento OIT_Backup'!$V75)</f>
        <v xml:space="preserve">- </v>
      </c>
      <c r="AE75" s="93" t="str">
        <f t="shared" si="4"/>
        <v>-</v>
      </c>
      <c r="AF75" s="94" t="str">
        <f t="shared" si="5"/>
        <v>-</v>
      </c>
      <c r="AG75" s="80" t="s">
        <v>43</v>
      </c>
      <c r="AH75" s="85"/>
      <c r="AI75" s="85"/>
      <c r="AJ75" s="95" t="str">
        <f>IFERROR(IF(OR(AH75="-",AH75="",AI75="-",AI75=""),"-",CONCATENATE('Seguimiento OIT_Backup'!AI75-'Seguimiento OIT_Backup'!AH75+1," dias")),"-")</f>
        <v>-</v>
      </c>
      <c r="AK75" s="80"/>
      <c r="AL75" s="35"/>
      <c r="AM75" s="35"/>
    </row>
    <row r="76" spans="1:39" ht="43.9" customHeight="1">
      <c r="A76" s="88"/>
      <c r="B76" s="88" t="s">
        <v>43</v>
      </c>
      <c r="C76" s="88" t="s">
        <v>43</v>
      </c>
      <c r="D76" s="83" t="s">
        <v>43</v>
      </c>
      <c r="E76" s="83" t="s">
        <v>43</v>
      </c>
      <c r="F76" s="84"/>
      <c r="G76" s="89" t="s">
        <v>43</v>
      </c>
      <c r="H76" s="84"/>
      <c r="I76" s="83"/>
      <c r="J76" s="83" t="s">
        <v>43</v>
      </c>
      <c r="K76" s="80" t="s">
        <v>43</v>
      </c>
      <c r="L76" s="80" t="s">
        <v>43</v>
      </c>
      <c r="M76" s="80" t="s">
        <v>43</v>
      </c>
      <c r="N76" s="81"/>
      <c r="O76" s="86"/>
      <c r="P76" s="90" t="s">
        <v>43</v>
      </c>
      <c r="Q76" s="82" t="s">
        <v>43</v>
      </c>
      <c r="R76" s="83"/>
      <c r="S76" s="91" t="str">
        <f ca="1">IFERROR(IF(OR(P76="Contratado",P76="No corresponde atención OGTI",P76="Desistido"),"-",IF('Seguimiento OIT_Backup'!$R76="","-",NETWORKDAYS('Seguimiento OIT_Backup'!$R76,TODAY(),{"02/04/2026";"03/04/2026"}))),"-")</f>
        <v>-</v>
      </c>
      <c r="T76" s="91" t="str">
        <f ca="1">IFERROR(IF(OR(D76="-",D76="",P76="Contratado"),"-",TODAY()-'Seguimiento OIT_Backup'!$D76),"-")</f>
        <v>-</v>
      </c>
      <c r="U76" s="78" t="s">
        <v>43</v>
      </c>
      <c r="V76" s="82"/>
      <c r="W76" s="83"/>
      <c r="X76" s="78"/>
      <c r="Y76" s="80" t="s">
        <v>43</v>
      </c>
      <c r="Z76" s="79"/>
      <c r="AA76" s="80" t="s">
        <v>43</v>
      </c>
      <c r="AB76" s="88" t="s">
        <v>43</v>
      </c>
      <c r="AC76" s="91" t="str">
        <f t="shared" ca="1" si="3"/>
        <v>-</v>
      </c>
      <c r="AD76" s="92" t="str">
        <f>CONCATENATE('Seguimiento OIT_Backup'!$U76," ",'Seguimiento OIT_Backup'!$V76)</f>
        <v xml:space="preserve">- </v>
      </c>
      <c r="AE76" s="93" t="str">
        <f t="shared" si="4"/>
        <v>-</v>
      </c>
      <c r="AF76" s="94" t="str">
        <f t="shared" si="5"/>
        <v>-</v>
      </c>
      <c r="AG76" s="80" t="s">
        <v>43</v>
      </c>
      <c r="AH76" s="85"/>
      <c r="AI76" s="85"/>
      <c r="AJ76" s="95" t="str">
        <f>IFERROR(IF(OR(AH76="-",AH76="",AI76="-",AI76=""),"-",CONCATENATE('Seguimiento OIT_Backup'!AI76-'Seguimiento OIT_Backup'!AH76+1," dias")),"-")</f>
        <v>-</v>
      </c>
      <c r="AK76" s="80"/>
      <c r="AL76" s="35"/>
      <c r="AM76" s="35"/>
    </row>
    <row r="77" spans="1:39" ht="43.9" customHeight="1">
      <c r="A77" s="88"/>
      <c r="B77" s="88" t="s">
        <v>43</v>
      </c>
      <c r="C77" s="88" t="s">
        <v>43</v>
      </c>
      <c r="D77" s="83" t="s">
        <v>43</v>
      </c>
      <c r="E77" s="83" t="s">
        <v>43</v>
      </c>
      <c r="F77" s="84"/>
      <c r="G77" s="89" t="s">
        <v>43</v>
      </c>
      <c r="H77" s="84"/>
      <c r="I77" s="83"/>
      <c r="J77" s="83" t="s">
        <v>43</v>
      </c>
      <c r="K77" s="80" t="s">
        <v>43</v>
      </c>
      <c r="L77" s="80" t="s">
        <v>43</v>
      </c>
      <c r="M77" s="80" t="s">
        <v>43</v>
      </c>
      <c r="N77" s="81"/>
      <c r="O77" s="86"/>
      <c r="P77" s="90" t="s">
        <v>43</v>
      </c>
      <c r="Q77" s="82" t="s">
        <v>43</v>
      </c>
      <c r="R77" s="83"/>
      <c r="S77" s="91" t="str">
        <f ca="1">IFERROR(IF(OR(P77="Contratado",P77="No corresponde atención OGTI",P77="Desistido"),"-",IF('Seguimiento OIT_Backup'!$R77="","-",NETWORKDAYS('Seguimiento OIT_Backup'!$R77,TODAY(),{"02/04/2026";"03/04/2026"}))),"-")</f>
        <v>-</v>
      </c>
      <c r="T77" s="91" t="str">
        <f ca="1">IFERROR(IF(OR(D77="-",D77="",P77="Contratado"),"-",TODAY()-'Seguimiento OIT_Backup'!$D77),"-")</f>
        <v>-</v>
      </c>
      <c r="U77" s="78" t="s">
        <v>43</v>
      </c>
      <c r="V77" s="82"/>
      <c r="W77" s="83"/>
      <c r="X77" s="78"/>
      <c r="Y77" s="80" t="s">
        <v>43</v>
      </c>
      <c r="Z77" s="79"/>
      <c r="AA77" s="80" t="s">
        <v>43</v>
      </c>
      <c r="AB77" s="88" t="s">
        <v>43</v>
      </c>
      <c r="AC77" s="91" t="str">
        <f t="shared" ca="1" si="3"/>
        <v>-</v>
      </c>
      <c r="AD77" s="92" t="str">
        <f>CONCATENATE('Seguimiento OIT_Backup'!$U77," ",'Seguimiento OIT_Backup'!$V77)</f>
        <v xml:space="preserve">- </v>
      </c>
      <c r="AE77" s="93" t="str">
        <f t="shared" si="4"/>
        <v>-</v>
      </c>
      <c r="AF77" s="94" t="str">
        <f t="shared" si="5"/>
        <v>-</v>
      </c>
      <c r="AG77" s="80" t="s">
        <v>43</v>
      </c>
      <c r="AH77" s="85"/>
      <c r="AI77" s="85"/>
      <c r="AJ77" s="95" t="str">
        <f>IFERROR(IF(OR(AH77="-",AH77="",AI77="-",AI77=""),"-",CONCATENATE('Seguimiento OIT_Backup'!AI77-'Seguimiento OIT_Backup'!AH77+1," dias")),"-")</f>
        <v>-</v>
      </c>
      <c r="AK77" s="80"/>
      <c r="AL77" s="35"/>
      <c r="AM77" s="35"/>
    </row>
    <row r="78" spans="1:39" ht="43.9" customHeight="1">
      <c r="A78" s="88"/>
      <c r="B78" s="88" t="s">
        <v>43</v>
      </c>
      <c r="C78" s="88" t="s">
        <v>43</v>
      </c>
      <c r="D78" s="83" t="s">
        <v>43</v>
      </c>
      <c r="E78" s="83" t="s">
        <v>43</v>
      </c>
      <c r="F78" s="84"/>
      <c r="G78" s="89" t="s">
        <v>43</v>
      </c>
      <c r="H78" s="84"/>
      <c r="I78" s="83"/>
      <c r="J78" s="83" t="s">
        <v>43</v>
      </c>
      <c r="K78" s="80" t="s">
        <v>43</v>
      </c>
      <c r="L78" s="80" t="s">
        <v>43</v>
      </c>
      <c r="M78" s="80" t="s">
        <v>43</v>
      </c>
      <c r="N78" s="81"/>
      <c r="O78" s="86"/>
      <c r="P78" s="90" t="s">
        <v>43</v>
      </c>
      <c r="Q78" s="82" t="s">
        <v>43</v>
      </c>
      <c r="R78" s="83"/>
      <c r="S78" s="91" t="str">
        <f ca="1">IFERROR(IF(OR(P78="Contratado",P78="No corresponde atención OGTI",P78="Desistido"),"-",IF('Seguimiento OIT_Backup'!$R78="","-",NETWORKDAYS('Seguimiento OIT_Backup'!$R78,TODAY(),{"02/04/2026";"03/04/2026"}))),"-")</f>
        <v>-</v>
      </c>
      <c r="T78" s="91" t="str">
        <f ca="1">IFERROR(IF(OR(D78="-",D78="",P78="Contratado"),"-",TODAY()-'Seguimiento OIT_Backup'!$D78),"-")</f>
        <v>-</v>
      </c>
      <c r="U78" s="78" t="s">
        <v>43</v>
      </c>
      <c r="V78" s="82"/>
      <c r="W78" s="83"/>
      <c r="X78" s="78"/>
      <c r="Y78" s="80" t="s">
        <v>43</v>
      </c>
      <c r="Z78" s="79"/>
      <c r="AA78" s="80" t="s">
        <v>43</v>
      </c>
      <c r="AB78" s="88" t="s">
        <v>43</v>
      </c>
      <c r="AC78" s="91" t="str">
        <f t="shared" ca="1" si="3"/>
        <v>-</v>
      </c>
      <c r="AD78" s="92" t="str">
        <f>CONCATENATE('Seguimiento OIT_Backup'!$U78," ",'Seguimiento OIT_Backup'!$V78)</f>
        <v xml:space="preserve">- </v>
      </c>
      <c r="AE78" s="93" t="str">
        <f t="shared" si="4"/>
        <v>-</v>
      </c>
      <c r="AF78" s="94" t="str">
        <f t="shared" si="5"/>
        <v>-</v>
      </c>
      <c r="AG78" s="80" t="s">
        <v>43</v>
      </c>
      <c r="AH78" s="85"/>
      <c r="AI78" s="85"/>
      <c r="AJ78" s="95" t="str">
        <f>IFERROR(IF(OR(AH78="-",AH78="",AI78="-",AI78=""),"-",CONCATENATE('Seguimiento OIT_Backup'!AI78-'Seguimiento OIT_Backup'!AH78+1," dias")),"-")</f>
        <v>-</v>
      </c>
      <c r="AK78" s="80"/>
      <c r="AL78" s="35"/>
      <c r="AM78" s="35"/>
    </row>
    <row r="79" spans="1:39" ht="43.9" customHeight="1">
      <c r="A79" s="88"/>
      <c r="B79" s="88" t="s">
        <v>43</v>
      </c>
      <c r="C79" s="88" t="s">
        <v>43</v>
      </c>
      <c r="D79" s="83" t="s">
        <v>43</v>
      </c>
      <c r="E79" s="83" t="s">
        <v>43</v>
      </c>
      <c r="F79" s="84"/>
      <c r="G79" s="89" t="s">
        <v>43</v>
      </c>
      <c r="H79" s="84"/>
      <c r="I79" s="83"/>
      <c r="J79" s="83" t="s">
        <v>43</v>
      </c>
      <c r="K79" s="80" t="s">
        <v>43</v>
      </c>
      <c r="L79" s="80" t="s">
        <v>43</v>
      </c>
      <c r="M79" s="80" t="s">
        <v>43</v>
      </c>
      <c r="N79" s="81"/>
      <c r="O79" s="86"/>
      <c r="P79" s="90" t="s">
        <v>43</v>
      </c>
      <c r="Q79" s="82" t="s">
        <v>43</v>
      </c>
      <c r="R79" s="83"/>
      <c r="S79" s="91" t="str">
        <f ca="1">IFERROR(IF(OR(P79="Contratado",P79="No corresponde atención OGTI",P79="Desistido"),"-",IF('Seguimiento OIT_Backup'!$R79="","-",NETWORKDAYS('Seguimiento OIT_Backup'!$R79,TODAY(),{"02/04/2026";"03/04/2026"}))),"-")</f>
        <v>-</v>
      </c>
      <c r="T79" s="91" t="str">
        <f ca="1">IFERROR(IF(OR(D79="-",D79="",P79="Contratado"),"-",TODAY()-'Seguimiento OIT_Backup'!$D79),"-")</f>
        <v>-</v>
      </c>
      <c r="U79" s="78" t="s">
        <v>43</v>
      </c>
      <c r="V79" s="82"/>
      <c r="W79" s="83"/>
      <c r="X79" s="78"/>
      <c r="Y79" s="80" t="s">
        <v>43</v>
      </c>
      <c r="Z79" s="79"/>
      <c r="AA79" s="80" t="s">
        <v>43</v>
      </c>
      <c r="AB79" s="88" t="s">
        <v>43</v>
      </c>
      <c r="AC79" s="91" t="str">
        <f t="shared" ca="1" si="3"/>
        <v>-</v>
      </c>
      <c r="AD79" s="92" t="str">
        <f>CONCATENATE('Seguimiento OIT_Backup'!$U79," ",'Seguimiento OIT_Backup'!$V79)</f>
        <v xml:space="preserve">- </v>
      </c>
      <c r="AE79" s="93" t="str">
        <f t="shared" si="4"/>
        <v>-</v>
      </c>
      <c r="AF79" s="94" t="str">
        <f t="shared" si="5"/>
        <v>-</v>
      </c>
      <c r="AG79" s="80" t="s">
        <v>43</v>
      </c>
      <c r="AH79" s="85"/>
      <c r="AI79" s="85"/>
      <c r="AJ79" s="95" t="str">
        <f>IFERROR(IF(OR(AH79="-",AH79="",AI79="-",AI79=""),"-",CONCATENATE('Seguimiento OIT_Backup'!AI79-'Seguimiento OIT_Backup'!AH79+1," dias")),"-")</f>
        <v>-</v>
      </c>
      <c r="AK79" s="80"/>
      <c r="AL79" s="35"/>
      <c r="AM79" s="35"/>
    </row>
    <row r="80" spans="1:39" ht="43.9" customHeight="1">
      <c r="A80" s="88"/>
      <c r="B80" s="88" t="s">
        <v>43</v>
      </c>
      <c r="C80" s="88" t="s">
        <v>43</v>
      </c>
      <c r="D80" s="83" t="s">
        <v>43</v>
      </c>
      <c r="E80" s="83" t="s">
        <v>43</v>
      </c>
      <c r="F80" s="84"/>
      <c r="G80" s="89" t="s">
        <v>43</v>
      </c>
      <c r="H80" s="84"/>
      <c r="I80" s="83"/>
      <c r="J80" s="83" t="s">
        <v>43</v>
      </c>
      <c r="K80" s="80" t="s">
        <v>43</v>
      </c>
      <c r="L80" s="80" t="s">
        <v>43</v>
      </c>
      <c r="M80" s="80" t="s">
        <v>43</v>
      </c>
      <c r="N80" s="81"/>
      <c r="O80" s="86"/>
      <c r="P80" s="90" t="s">
        <v>43</v>
      </c>
      <c r="Q80" s="82" t="s">
        <v>43</v>
      </c>
      <c r="R80" s="83"/>
      <c r="S80" s="91" t="str">
        <f ca="1">IFERROR(IF(OR(P80="Contratado",P80="No corresponde atención OGTI",P80="Desistido"),"-",IF('Seguimiento OIT_Backup'!$R80="","-",NETWORKDAYS('Seguimiento OIT_Backup'!$R80,TODAY(),{"02/04/2026";"03/04/2026"}))),"-")</f>
        <v>-</v>
      </c>
      <c r="T80" s="91" t="str">
        <f ca="1">IFERROR(IF(OR(D80="-",D80="",P80="Contratado"),"-",TODAY()-'Seguimiento OIT_Backup'!$D80),"-")</f>
        <v>-</v>
      </c>
      <c r="U80" s="78" t="s">
        <v>43</v>
      </c>
      <c r="V80" s="82"/>
      <c r="W80" s="83"/>
      <c r="X80" s="78"/>
      <c r="Y80" s="80" t="s">
        <v>43</v>
      </c>
      <c r="Z80" s="79"/>
      <c r="AA80" s="80" t="s">
        <v>43</v>
      </c>
      <c r="AB80" s="88" t="s">
        <v>43</v>
      </c>
      <c r="AC80" s="91" t="str">
        <f t="shared" ca="1" si="3"/>
        <v>-</v>
      </c>
      <c r="AD80" s="92" t="str">
        <f>CONCATENATE('Seguimiento OIT_Backup'!$U80," ",'Seguimiento OIT_Backup'!$V80)</f>
        <v xml:space="preserve">- </v>
      </c>
      <c r="AE80" s="93" t="str">
        <f t="shared" si="4"/>
        <v>-</v>
      </c>
      <c r="AF80" s="94" t="str">
        <f t="shared" si="5"/>
        <v>-</v>
      </c>
      <c r="AG80" s="80" t="s">
        <v>43</v>
      </c>
      <c r="AH80" s="85"/>
      <c r="AI80" s="85"/>
      <c r="AJ80" s="95" t="str">
        <f>IFERROR(IF(OR(AH80="-",AH80="",AI80="-",AI80=""),"-",CONCATENATE('Seguimiento OIT_Backup'!AI80-'Seguimiento OIT_Backup'!AH80+1," dias")),"-")</f>
        <v>-</v>
      </c>
      <c r="AK80" s="80"/>
      <c r="AL80" s="35"/>
      <c r="AM80" s="35"/>
    </row>
    <row r="81" spans="1:39" ht="43.9" customHeight="1">
      <c r="A81" s="88"/>
      <c r="B81" s="88" t="s">
        <v>43</v>
      </c>
      <c r="C81" s="88" t="s">
        <v>43</v>
      </c>
      <c r="D81" s="83" t="s">
        <v>43</v>
      </c>
      <c r="E81" s="83" t="s">
        <v>43</v>
      </c>
      <c r="F81" s="84"/>
      <c r="G81" s="89" t="s">
        <v>43</v>
      </c>
      <c r="H81" s="84"/>
      <c r="I81" s="83"/>
      <c r="J81" s="83" t="s">
        <v>43</v>
      </c>
      <c r="K81" s="80" t="s">
        <v>43</v>
      </c>
      <c r="L81" s="80" t="s">
        <v>43</v>
      </c>
      <c r="M81" s="80" t="s">
        <v>43</v>
      </c>
      <c r="N81" s="81"/>
      <c r="O81" s="86"/>
      <c r="P81" s="90" t="s">
        <v>43</v>
      </c>
      <c r="Q81" s="82" t="s">
        <v>43</v>
      </c>
      <c r="R81" s="83"/>
      <c r="S81" s="91" t="str">
        <f ca="1">IFERROR(IF(OR(P81="Contratado",P81="No corresponde atención OGTI",P81="Desistido"),"-",IF('Seguimiento OIT_Backup'!$R81="","-",NETWORKDAYS('Seguimiento OIT_Backup'!$R81,TODAY(),{"02/04/2026";"03/04/2026"}))),"-")</f>
        <v>-</v>
      </c>
      <c r="T81" s="91" t="str">
        <f ca="1">IFERROR(IF(OR(D81="-",D81="",P81="Contratado"),"-",TODAY()-'Seguimiento OIT_Backup'!$D81),"-")</f>
        <v>-</v>
      </c>
      <c r="U81" s="78" t="s">
        <v>43</v>
      </c>
      <c r="V81" s="82"/>
      <c r="W81" s="83"/>
      <c r="X81" s="78"/>
      <c r="Y81" s="80" t="s">
        <v>43</v>
      </c>
      <c r="Z81" s="79"/>
      <c r="AA81" s="80" t="s">
        <v>43</v>
      </c>
      <c r="AB81" s="88" t="s">
        <v>43</v>
      </c>
      <c r="AC81" s="91" t="str">
        <f t="shared" ca="1" si="3"/>
        <v>-</v>
      </c>
      <c r="AD81" s="92" t="str">
        <f>CONCATENATE('Seguimiento OIT_Backup'!$U81," ",'Seguimiento OIT_Backup'!$V81)</f>
        <v xml:space="preserve">- </v>
      </c>
      <c r="AE81" s="93" t="str">
        <f t="shared" si="4"/>
        <v>-</v>
      </c>
      <c r="AF81" s="94" t="str">
        <f t="shared" si="5"/>
        <v>-</v>
      </c>
      <c r="AG81" s="80" t="s">
        <v>43</v>
      </c>
      <c r="AH81" s="85"/>
      <c r="AI81" s="85"/>
      <c r="AJ81" s="95" t="str">
        <f>IFERROR(IF(OR(AH81="-",AH81="",AI81="-",AI81=""),"-",CONCATENATE('Seguimiento OIT_Backup'!AI81-'Seguimiento OIT_Backup'!AH81+1," dias")),"-")</f>
        <v>-</v>
      </c>
      <c r="AK81" s="80"/>
      <c r="AL81" s="35"/>
      <c r="AM81" s="35"/>
    </row>
    <row r="82" spans="1:39" ht="43.9" customHeight="1">
      <c r="A82" s="88"/>
      <c r="B82" s="88" t="s">
        <v>43</v>
      </c>
      <c r="C82" s="88" t="s">
        <v>43</v>
      </c>
      <c r="D82" s="83" t="s">
        <v>43</v>
      </c>
      <c r="E82" s="83" t="s">
        <v>43</v>
      </c>
      <c r="F82" s="84"/>
      <c r="G82" s="89" t="s">
        <v>43</v>
      </c>
      <c r="H82" s="84"/>
      <c r="I82" s="83"/>
      <c r="J82" s="83" t="s">
        <v>43</v>
      </c>
      <c r="K82" s="80" t="s">
        <v>43</v>
      </c>
      <c r="L82" s="80" t="s">
        <v>43</v>
      </c>
      <c r="M82" s="80" t="s">
        <v>43</v>
      </c>
      <c r="N82" s="81"/>
      <c r="O82" s="86"/>
      <c r="P82" s="90" t="s">
        <v>43</v>
      </c>
      <c r="Q82" s="82" t="s">
        <v>43</v>
      </c>
      <c r="R82" s="83"/>
      <c r="S82" s="91" t="str">
        <f ca="1">IFERROR(IF(OR(P82="Contratado",P82="No corresponde atención OGTI",P82="Desistido"),"-",IF('Seguimiento OIT_Backup'!$R82="","-",NETWORKDAYS('Seguimiento OIT_Backup'!$R82,TODAY(),{"02/04/2026";"03/04/2026"}))),"-")</f>
        <v>-</v>
      </c>
      <c r="T82" s="91" t="str">
        <f ca="1">IFERROR(IF(OR(D82="-",D82="",P82="Contratado"),"-",TODAY()-'Seguimiento OIT_Backup'!$D82),"-")</f>
        <v>-</v>
      </c>
      <c r="U82" s="78" t="s">
        <v>43</v>
      </c>
      <c r="V82" s="82"/>
      <c r="W82" s="83"/>
      <c r="X82" s="78"/>
      <c r="Y82" s="80" t="s">
        <v>43</v>
      </c>
      <c r="Z82" s="79"/>
      <c r="AA82" s="80" t="s">
        <v>43</v>
      </c>
      <c r="AB82" s="88" t="s">
        <v>43</v>
      </c>
      <c r="AC82" s="91" t="str">
        <f t="shared" ca="1" si="3"/>
        <v>-</v>
      </c>
      <c r="AD82" s="92" t="str">
        <f>CONCATENATE('Seguimiento OIT_Backup'!$U82," ",'Seguimiento OIT_Backup'!$V82)</f>
        <v xml:space="preserve">- </v>
      </c>
      <c r="AE82" s="93" t="str">
        <f t="shared" si="4"/>
        <v>-</v>
      </c>
      <c r="AF82" s="94" t="str">
        <f t="shared" si="5"/>
        <v>-</v>
      </c>
      <c r="AG82" s="80" t="s">
        <v>43</v>
      </c>
      <c r="AH82" s="85"/>
      <c r="AI82" s="85"/>
      <c r="AJ82" s="95" t="str">
        <f>IFERROR(IF(OR(AH82="-",AH82="",AI82="-",AI82=""),"-",CONCATENATE('Seguimiento OIT_Backup'!AI82-'Seguimiento OIT_Backup'!AH82+1," dias")),"-")</f>
        <v>-</v>
      </c>
      <c r="AK82" s="80"/>
      <c r="AL82" s="35"/>
      <c r="AM82" s="35"/>
    </row>
    <row r="83" spans="1:39" ht="43.9" customHeight="1">
      <c r="A83" s="88"/>
      <c r="B83" s="88" t="s">
        <v>43</v>
      </c>
      <c r="C83" s="88" t="s">
        <v>43</v>
      </c>
      <c r="D83" s="83" t="s">
        <v>43</v>
      </c>
      <c r="E83" s="83" t="s">
        <v>43</v>
      </c>
      <c r="F83" s="84"/>
      <c r="G83" s="89" t="s">
        <v>43</v>
      </c>
      <c r="H83" s="84"/>
      <c r="I83" s="83"/>
      <c r="J83" s="83" t="s">
        <v>43</v>
      </c>
      <c r="K83" s="80" t="s">
        <v>43</v>
      </c>
      <c r="L83" s="80" t="s">
        <v>43</v>
      </c>
      <c r="M83" s="80" t="s">
        <v>43</v>
      </c>
      <c r="N83" s="81"/>
      <c r="O83" s="86"/>
      <c r="P83" s="90" t="s">
        <v>43</v>
      </c>
      <c r="Q83" s="82" t="s">
        <v>43</v>
      </c>
      <c r="R83" s="83"/>
      <c r="S83" s="91" t="str">
        <f ca="1">IFERROR(IF(OR(P83="Contratado",P83="No corresponde atención OGTI",P83="Desistido"),"-",IF('Seguimiento OIT_Backup'!$R83="","-",NETWORKDAYS('Seguimiento OIT_Backup'!$R83,TODAY(),{"02/04/2026";"03/04/2026"}))),"-")</f>
        <v>-</v>
      </c>
      <c r="T83" s="91" t="str">
        <f ca="1">IFERROR(IF(OR(D83="-",D83="",P83="Contratado"),"-",TODAY()-'Seguimiento OIT_Backup'!$D83),"-")</f>
        <v>-</v>
      </c>
      <c r="U83" s="78" t="s">
        <v>43</v>
      </c>
      <c r="V83" s="82"/>
      <c r="W83" s="83"/>
      <c r="X83" s="78"/>
      <c r="Y83" s="80" t="s">
        <v>43</v>
      </c>
      <c r="Z83" s="79"/>
      <c r="AA83" s="80" t="s">
        <v>43</v>
      </c>
      <c r="AB83" s="88" t="s">
        <v>43</v>
      </c>
      <c r="AC83" s="91" t="str">
        <f t="shared" ca="1" si="3"/>
        <v>-</v>
      </c>
      <c r="AD83" s="92" t="str">
        <f>CONCATENATE('Seguimiento OIT_Backup'!$U83," ",'Seguimiento OIT_Backup'!$V83)</f>
        <v xml:space="preserve">- </v>
      </c>
      <c r="AE83" s="93" t="str">
        <f t="shared" si="4"/>
        <v>-</v>
      </c>
      <c r="AF83" s="94" t="str">
        <f t="shared" si="5"/>
        <v>-</v>
      </c>
      <c r="AG83" s="80" t="s">
        <v>43</v>
      </c>
      <c r="AH83" s="85"/>
      <c r="AI83" s="85"/>
      <c r="AJ83" s="95" t="str">
        <f>IFERROR(IF(OR(AH83="-",AH83="",AI83="-",AI83=""),"-",CONCATENATE('Seguimiento OIT_Backup'!AI83-'Seguimiento OIT_Backup'!AH83+1," dias")),"-")</f>
        <v>-</v>
      </c>
      <c r="AK83" s="80"/>
      <c r="AL83" s="35"/>
      <c r="AM83" s="35"/>
    </row>
    <row r="84" spans="1:39" ht="43.9" customHeight="1">
      <c r="A84" s="61"/>
      <c r="B84" s="61" t="s">
        <v>43</v>
      </c>
      <c r="C84" s="61" t="s">
        <v>43</v>
      </c>
      <c r="D84" s="62" t="s">
        <v>43</v>
      </c>
      <c r="E84" s="62" t="s">
        <v>43</v>
      </c>
      <c r="F84" s="60"/>
      <c r="G84" s="76" t="s">
        <v>43</v>
      </c>
      <c r="H84" s="60"/>
      <c r="I84" s="62"/>
      <c r="J84" s="62" t="s">
        <v>43</v>
      </c>
      <c r="K84" s="63" t="s">
        <v>43</v>
      </c>
      <c r="L84" s="63" t="s">
        <v>43</v>
      </c>
      <c r="M84" s="63" t="s">
        <v>43</v>
      </c>
      <c r="N84" s="64"/>
      <c r="O84" s="65"/>
      <c r="P84" s="66" t="s">
        <v>43</v>
      </c>
      <c r="Q84" s="67" t="s">
        <v>43</v>
      </c>
      <c r="R84" s="62"/>
      <c r="S84" s="68" t="str">
        <f ca="1">IFERROR(IF(OR(P84="Contratado",P84="No corresponde atención OGTI",P84="Desistido"),"-",IF('Seguimiento OIT_Backup'!$R84="","-",NETWORKDAYS('Seguimiento OIT_Backup'!$R84,TODAY(),{"02/04/2026";"03/04/2026"}))),"-")</f>
        <v>-</v>
      </c>
      <c r="T84" s="68" t="str">
        <f ca="1">IFERROR(IF(OR(D84="-",D84="",P84="Contratado"),"-",TODAY()-'Seguimiento OIT_Backup'!$D84),"-")</f>
        <v>-</v>
      </c>
      <c r="U84" s="69" t="s">
        <v>43</v>
      </c>
      <c r="V84" s="67"/>
      <c r="W84" s="62"/>
      <c r="X84" s="69"/>
      <c r="Y84" s="63" t="s">
        <v>43</v>
      </c>
      <c r="Z84" s="70"/>
      <c r="AA84" s="63" t="s">
        <v>43</v>
      </c>
      <c r="AB84" s="61" t="s">
        <v>43</v>
      </c>
      <c r="AC84" s="68" t="str">
        <f t="shared" ca="1" si="0"/>
        <v>-</v>
      </c>
      <c r="AD84" s="71" t="str">
        <f>CONCATENATE('Seguimiento OIT_Backup'!$U84," ",'Seguimiento OIT_Backup'!$V84)</f>
        <v xml:space="preserve">- </v>
      </c>
      <c r="AE84" s="72" t="str">
        <f t="shared" si="1"/>
        <v>-</v>
      </c>
      <c r="AF84" s="73" t="str">
        <f t="shared" si="2"/>
        <v>-</v>
      </c>
      <c r="AG84" s="63" t="s">
        <v>43</v>
      </c>
      <c r="AH84" s="74"/>
      <c r="AI84" s="74"/>
      <c r="AJ84" s="75" t="str">
        <f>IFERROR(IF(OR(AH84="-",AH84="",AI84="-",AI84=""),"-",CONCATENATE('Seguimiento OIT_Backup'!AI84-'Seguimiento OIT_Backup'!AH84+1," dias")),"-")</f>
        <v>-</v>
      </c>
      <c r="AK84" s="63"/>
      <c r="AL84" s="35"/>
      <c r="AM84" s="35"/>
    </row>
    <row r="85" spans="1:39" ht="43.9" customHeight="1">
      <c r="A85" s="61"/>
      <c r="B85" s="61" t="s">
        <v>43</v>
      </c>
      <c r="C85" s="61" t="s">
        <v>43</v>
      </c>
      <c r="D85" s="62" t="s">
        <v>43</v>
      </c>
      <c r="E85" s="62" t="s">
        <v>43</v>
      </c>
      <c r="F85" s="60"/>
      <c r="G85" s="76" t="s">
        <v>43</v>
      </c>
      <c r="H85" s="60"/>
      <c r="I85" s="62"/>
      <c r="J85" s="62" t="s">
        <v>43</v>
      </c>
      <c r="K85" s="63" t="s">
        <v>43</v>
      </c>
      <c r="L85" s="63" t="s">
        <v>43</v>
      </c>
      <c r="M85" s="63" t="s">
        <v>43</v>
      </c>
      <c r="N85" s="64"/>
      <c r="O85" s="65"/>
      <c r="P85" s="66" t="s">
        <v>43</v>
      </c>
      <c r="Q85" s="67" t="s">
        <v>43</v>
      </c>
      <c r="R85" s="62"/>
      <c r="S85" s="68" t="str">
        <f ca="1">IFERROR(IF(OR(P85="Contratado",P85="No corresponde atención OGTI",P85="Desistido"),"-",IF('Seguimiento OIT_Backup'!$R85="","-",NETWORKDAYS('Seguimiento OIT_Backup'!$R85,TODAY(),{"02/04/2026";"03/04/2026"}))),"-")</f>
        <v>-</v>
      </c>
      <c r="T85" s="68" t="str">
        <f ca="1">IFERROR(IF(OR(D85="-",D85="",P85="Contratado"),"-",TODAY()-'Seguimiento OIT_Backup'!$D85),"-")</f>
        <v>-</v>
      </c>
      <c r="U85" s="69" t="s">
        <v>43</v>
      </c>
      <c r="V85" s="67"/>
      <c r="W85" s="62"/>
      <c r="X85" s="69"/>
      <c r="Y85" s="63" t="s">
        <v>43</v>
      </c>
      <c r="Z85" s="70"/>
      <c r="AA85" s="63" t="s">
        <v>43</v>
      </c>
      <c r="AB85" s="61" t="s">
        <v>43</v>
      </c>
      <c r="AC85" s="68" t="str">
        <f t="shared" ca="1" si="0"/>
        <v>-</v>
      </c>
      <c r="AD85" s="71" t="str">
        <f>CONCATENATE('Seguimiento OIT_Backup'!$U85," ",'Seguimiento OIT_Backup'!$V85)</f>
        <v xml:space="preserve">- </v>
      </c>
      <c r="AE85" s="72" t="str">
        <f t="shared" si="1"/>
        <v>-</v>
      </c>
      <c r="AF85" s="73" t="str">
        <f t="shared" si="2"/>
        <v>-</v>
      </c>
      <c r="AG85" s="63" t="s">
        <v>43</v>
      </c>
      <c r="AH85" s="74"/>
      <c r="AI85" s="74"/>
      <c r="AJ85" s="75" t="str">
        <f>IFERROR(IF(OR(AH85="-",AH85="",AI85="-",AI85=""),"-",CONCATENATE('Seguimiento OIT_Backup'!AI85-'Seguimiento OIT_Backup'!AH85+1," dias")),"-")</f>
        <v>-</v>
      </c>
      <c r="AK85" s="63"/>
      <c r="AL85" s="35"/>
      <c r="AM85" s="35"/>
    </row>
    <row r="86" spans="1:39" ht="43.9" customHeight="1">
      <c r="A86" s="61"/>
      <c r="B86" s="61" t="s">
        <v>43</v>
      </c>
      <c r="C86" s="61" t="s">
        <v>43</v>
      </c>
      <c r="D86" s="62" t="s">
        <v>43</v>
      </c>
      <c r="E86" s="62" t="s">
        <v>43</v>
      </c>
      <c r="F86" s="60"/>
      <c r="G86" s="76" t="s">
        <v>43</v>
      </c>
      <c r="H86" s="60"/>
      <c r="I86" s="62"/>
      <c r="J86" s="62" t="s">
        <v>43</v>
      </c>
      <c r="K86" s="63" t="s">
        <v>43</v>
      </c>
      <c r="L86" s="63" t="s">
        <v>43</v>
      </c>
      <c r="M86" s="63" t="s">
        <v>43</v>
      </c>
      <c r="N86" s="64"/>
      <c r="O86" s="65"/>
      <c r="P86" s="66" t="s">
        <v>43</v>
      </c>
      <c r="Q86" s="67" t="s">
        <v>43</v>
      </c>
      <c r="R86" s="62"/>
      <c r="S86" s="68" t="str">
        <f ca="1">IFERROR(IF(OR(P86="Contratado",P86="No corresponde atención OGTI",P86="Desistido"),"-",IF('Seguimiento OIT_Backup'!$R86="","-",NETWORKDAYS('Seguimiento OIT_Backup'!$R86,TODAY(),{"02/04/2026";"03/04/2026"}))),"-")</f>
        <v>-</v>
      </c>
      <c r="T86" s="68" t="str">
        <f ca="1">IFERROR(IF(OR(D86="-",D86="",P86="Contratado"),"-",TODAY()-'Seguimiento OIT_Backup'!$D86),"-")</f>
        <v>-</v>
      </c>
      <c r="U86" s="69" t="s">
        <v>43</v>
      </c>
      <c r="V86" s="67"/>
      <c r="W86" s="62"/>
      <c r="X86" s="69"/>
      <c r="Y86" s="63" t="s">
        <v>43</v>
      </c>
      <c r="Z86" s="70"/>
      <c r="AA86" s="63" t="s">
        <v>43</v>
      </c>
      <c r="AB86" s="61" t="s">
        <v>43</v>
      </c>
      <c r="AC86" s="68" t="str">
        <f t="shared" ca="1" si="0"/>
        <v>-</v>
      </c>
      <c r="AD86" s="71" t="str">
        <f>CONCATENATE('Seguimiento OIT_Backup'!$U86," ",'Seguimiento OIT_Backup'!$V86)</f>
        <v xml:space="preserve">- </v>
      </c>
      <c r="AE86" s="72" t="str">
        <f t="shared" si="1"/>
        <v>-</v>
      </c>
      <c r="AF86" s="73" t="str">
        <f t="shared" si="2"/>
        <v>-</v>
      </c>
      <c r="AG86" s="63" t="s">
        <v>43</v>
      </c>
      <c r="AH86" s="74"/>
      <c r="AI86" s="74"/>
      <c r="AJ86" s="75" t="str">
        <f>IFERROR(IF(OR(AH86="-",AH86="",AI86="-",AI86=""),"-",CONCATENATE('Seguimiento OIT_Backup'!AI86-'Seguimiento OIT_Backup'!AH86+1," dias")),"-")</f>
        <v>-</v>
      </c>
      <c r="AK86" s="63"/>
      <c r="AL86" s="35"/>
      <c r="AM86" s="35"/>
    </row>
    <row r="87" spans="1:39" ht="43.9" customHeight="1">
      <c r="A87" s="61"/>
      <c r="B87" s="61" t="s">
        <v>43</v>
      </c>
      <c r="C87" s="61" t="s">
        <v>43</v>
      </c>
      <c r="D87" s="62" t="s">
        <v>43</v>
      </c>
      <c r="E87" s="62" t="s">
        <v>43</v>
      </c>
      <c r="F87" s="60"/>
      <c r="G87" s="76" t="s">
        <v>43</v>
      </c>
      <c r="H87" s="60"/>
      <c r="I87" s="62"/>
      <c r="J87" s="62" t="s">
        <v>43</v>
      </c>
      <c r="K87" s="63" t="s">
        <v>43</v>
      </c>
      <c r="L87" s="63" t="s">
        <v>43</v>
      </c>
      <c r="M87" s="63" t="s">
        <v>43</v>
      </c>
      <c r="N87" s="64"/>
      <c r="O87" s="65"/>
      <c r="P87" s="66" t="s">
        <v>43</v>
      </c>
      <c r="Q87" s="67" t="s">
        <v>43</v>
      </c>
      <c r="R87" s="62"/>
      <c r="S87" s="68" t="str">
        <f ca="1">IFERROR(IF(OR(P87="Contratado",P87="No corresponde atención OGTI",P87="Desistido"),"-",IF('Seguimiento OIT_Backup'!$R87="","-",NETWORKDAYS('Seguimiento OIT_Backup'!$R87,TODAY(),{"02/04/2026";"03/04/2026"}))),"-")</f>
        <v>-</v>
      </c>
      <c r="T87" s="68" t="str">
        <f ca="1">IFERROR(IF(OR(D87="-",D87="",P87="Contratado"),"-",TODAY()-'Seguimiento OIT_Backup'!$D87),"-")</f>
        <v>-</v>
      </c>
      <c r="U87" s="69" t="s">
        <v>43</v>
      </c>
      <c r="V87" s="67"/>
      <c r="W87" s="62"/>
      <c r="X87" s="69"/>
      <c r="Y87" s="63" t="s">
        <v>43</v>
      </c>
      <c r="Z87" s="70"/>
      <c r="AA87" s="63" t="s">
        <v>43</v>
      </c>
      <c r="AB87" s="61" t="s">
        <v>43</v>
      </c>
      <c r="AC87" s="68" t="str">
        <f t="shared" ca="1" si="0"/>
        <v>-</v>
      </c>
      <c r="AD87" s="71" t="str">
        <f>CONCATENATE('Seguimiento OIT_Backup'!$U87," ",'Seguimiento OIT_Backup'!$V87)</f>
        <v xml:space="preserve">- </v>
      </c>
      <c r="AE87" s="72" t="str">
        <f t="shared" si="1"/>
        <v>-</v>
      </c>
      <c r="AF87" s="73" t="str">
        <f t="shared" si="2"/>
        <v>-</v>
      </c>
      <c r="AG87" s="63" t="s">
        <v>43</v>
      </c>
      <c r="AH87" s="74"/>
      <c r="AI87" s="74"/>
      <c r="AJ87" s="75" t="str">
        <f>IFERROR(IF(OR(AH87="-",AH87="",AI87="-",AI87=""),"-",CONCATENATE('Seguimiento OIT_Backup'!AI87-'Seguimiento OIT_Backup'!AH87+1," dias")),"-")</f>
        <v>-</v>
      </c>
      <c r="AK87" s="63"/>
      <c r="AL87" s="35"/>
      <c r="AM87" s="35"/>
    </row>
    <row r="88" spans="1:39" ht="43.9" customHeight="1">
      <c r="A88" s="61"/>
      <c r="B88" s="61" t="s">
        <v>43</v>
      </c>
      <c r="C88" s="61" t="s">
        <v>43</v>
      </c>
      <c r="D88" s="62" t="s">
        <v>43</v>
      </c>
      <c r="E88" s="62" t="s">
        <v>43</v>
      </c>
      <c r="F88" s="60"/>
      <c r="G88" s="76" t="s">
        <v>43</v>
      </c>
      <c r="H88" s="60"/>
      <c r="I88" s="62"/>
      <c r="J88" s="62" t="s">
        <v>43</v>
      </c>
      <c r="K88" s="63" t="s">
        <v>43</v>
      </c>
      <c r="L88" s="63" t="s">
        <v>43</v>
      </c>
      <c r="M88" s="63" t="s">
        <v>43</v>
      </c>
      <c r="N88" s="64"/>
      <c r="O88" s="65"/>
      <c r="P88" s="66" t="s">
        <v>43</v>
      </c>
      <c r="Q88" s="67" t="s">
        <v>43</v>
      </c>
      <c r="R88" s="62"/>
      <c r="S88" s="68" t="str">
        <f ca="1">IFERROR(IF(OR(P88="Contratado",P88="No corresponde atención OGTI",P88="Desistido"),"-",IF('Seguimiento OIT_Backup'!$R88="","-",NETWORKDAYS('Seguimiento OIT_Backup'!$R88,TODAY(),{"02/04/2026";"03/04/2026"}))),"-")</f>
        <v>-</v>
      </c>
      <c r="T88" s="68" t="str">
        <f ca="1">IFERROR(IF(OR(D88="-",D88="",P88="Contratado"),"-",TODAY()-'Seguimiento OIT_Backup'!$D88),"-")</f>
        <v>-</v>
      </c>
      <c r="U88" s="69" t="s">
        <v>43</v>
      </c>
      <c r="V88" s="67"/>
      <c r="W88" s="62"/>
      <c r="X88" s="69"/>
      <c r="Y88" s="63" t="s">
        <v>43</v>
      </c>
      <c r="Z88" s="70"/>
      <c r="AA88" s="63" t="s">
        <v>43</v>
      </c>
      <c r="AB88" s="61" t="s">
        <v>43</v>
      </c>
      <c r="AC88" s="68" t="str">
        <f t="shared" ca="1" si="0"/>
        <v>-</v>
      </c>
      <c r="AD88" s="71" t="str">
        <f>CONCATENATE('Seguimiento OIT_Backup'!$U88," ",'Seguimiento OIT_Backup'!$V88)</f>
        <v xml:space="preserve">- </v>
      </c>
      <c r="AE88" s="72" t="str">
        <f t="shared" si="1"/>
        <v>-</v>
      </c>
      <c r="AF88" s="73" t="str">
        <f t="shared" si="2"/>
        <v>-</v>
      </c>
      <c r="AG88" s="63" t="s">
        <v>43</v>
      </c>
      <c r="AH88" s="74"/>
      <c r="AI88" s="74"/>
      <c r="AJ88" s="75" t="str">
        <f>IFERROR(IF(OR(AH88="-",AH88="",AI88="-",AI88=""),"-",CONCATENATE('Seguimiento OIT_Backup'!AI88-'Seguimiento OIT_Backup'!AH88+1," dias")),"-")</f>
        <v>-</v>
      </c>
      <c r="AK88" s="63"/>
      <c r="AL88" s="35"/>
      <c r="AM88" s="35"/>
    </row>
    <row r="89" spans="1:39" ht="43.9" customHeight="1">
      <c r="A89" s="61"/>
      <c r="B89" s="61" t="s">
        <v>43</v>
      </c>
      <c r="C89" s="61" t="s">
        <v>43</v>
      </c>
      <c r="D89" s="62" t="s">
        <v>43</v>
      </c>
      <c r="E89" s="62" t="s">
        <v>43</v>
      </c>
      <c r="F89" s="60"/>
      <c r="G89" s="76" t="s">
        <v>43</v>
      </c>
      <c r="H89" s="60"/>
      <c r="I89" s="62"/>
      <c r="J89" s="62" t="s">
        <v>43</v>
      </c>
      <c r="K89" s="63" t="s">
        <v>43</v>
      </c>
      <c r="L89" s="63" t="s">
        <v>43</v>
      </c>
      <c r="M89" s="63" t="s">
        <v>43</v>
      </c>
      <c r="N89" s="64"/>
      <c r="O89" s="65"/>
      <c r="P89" s="66" t="s">
        <v>43</v>
      </c>
      <c r="Q89" s="67" t="s">
        <v>43</v>
      </c>
      <c r="R89" s="62"/>
      <c r="S89" s="68" t="str">
        <f ca="1">IFERROR(IF(OR(P89="Contratado",P89="No corresponde atención OGTI",P89="Desistido"),"-",IF('Seguimiento OIT_Backup'!$R89="","-",NETWORKDAYS('Seguimiento OIT_Backup'!$R89,TODAY(),{"02/04/2026";"03/04/2026"}))),"-")</f>
        <v>-</v>
      </c>
      <c r="T89" s="68" t="str">
        <f ca="1">IFERROR(IF(OR(D89="-",D89="",P89="Contratado"),"-",TODAY()-'Seguimiento OIT_Backup'!$D89),"-")</f>
        <v>-</v>
      </c>
      <c r="U89" s="69" t="s">
        <v>43</v>
      </c>
      <c r="V89" s="67"/>
      <c r="W89" s="62"/>
      <c r="X89" s="69"/>
      <c r="Y89" s="63" t="s">
        <v>43</v>
      </c>
      <c r="Z89" s="70"/>
      <c r="AA89" s="63" t="s">
        <v>43</v>
      </c>
      <c r="AB89" s="61" t="s">
        <v>43</v>
      </c>
      <c r="AC89" s="68" t="str">
        <f t="shared" ca="1" si="0"/>
        <v>-</v>
      </c>
      <c r="AD89" s="71" t="str">
        <f>CONCATENATE('Seguimiento OIT_Backup'!$U89," ",'Seguimiento OIT_Backup'!$V89)</f>
        <v xml:space="preserve">- </v>
      </c>
      <c r="AE89" s="72" t="str">
        <f t="shared" si="1"/>
        <v>-</v>
      </c>
      <c r="AF89" s="73" t="str">
        <f t="shared" si="2"/>
        <v>-</v>
      </c>
      <c r="AG89" s="63" t="s">
        <v>43</v>
      </c>
      <c r="AH89" s="74"/>
      <c r="AI89" s="74"/>
      <c r="AJ89" s="75" t="str">
        <f>IFERROR(IF(OR(AH89="-",AH89="",AI89="-",AI89=""),"-",CONCATENATE('Seguimiento OIT_Backup'!AI89-'Seguimiento OIT_Backup'!AH89+1," dias")),"-")</f>
        <v>-</v>
      </c>
      <c r="AK89" s="63"/>
      <c r="AL89" s="35"/>
      <c r="AM89" s="35"/>
    </row>
    <row r="90" spans="1:39" ht="43.9" customHeight="1">
      <c r="A90" s="61"/>
      <c r="B90" s="61" t="s">
        <v>43</v>
      </c>
      <c r="C90" s="61" t="s">
        <v>43</v>
      </c>
      <c r="D90" s="62" t="s">
        <v>43</v>
      </c>
      <c r="E90" s="62" t="s">
        <v>43</v>
      </c>
      <c r="F90" s="60"/>
      <c r="G90" s="76" t="s">
        <v>43</v>
      </c>
      <c r="H90" s="60"/>
      <c r="I90" s="62"/>
      <c r="J90" s="62" t="s">
        <v>43</v>
      </c>
      <c r="K90" s="63" t="s">
        <v>43</v>
      </c>
      <c r="L90" s="63" t="s">
        <v>43</v>
      </c>
      <c r="M90" s="63" t="s">
        <v>43</v>
      </c>
      <c r="N90" s="64"/>
      <c r="O90" s="65"/>
      <c r="P90" s="66" t="s">
        <v>43</v>
      </c>
      <c r="Q90" s="67" t="s">
        <v>43</v>
      </c>
      <c r="R90" s="62"/>
      <c r="S90" s="68" t="str">
        <f ca="1">IFERROR(IF(OR(P90="Contratado",P90="No corresponde atención OGTI",P90="Desistido"),"-",IF('Seguimiento OIT_Backup'!$R90="","-",NETWORKDAYS('Seguimiento OIT_Backup'!$R90,TODAY(),{"02/04/2026";"03/04/2026"}))),"-")</f>
        <v>-</v>
      </c>
      <c r="T90" s="68" t="str">
        <f ca="1">IFERROR(IF(OR(D90="-",D90="",P90="Contratado"),"-",TODAY()-'Seguimiento OIT_Backup'!$D90),"-")</f>
        <v>-</v>
      </c>
      <c r="U90" s="69" t="s">
        <v>43</v>
      </c>
      <c r="V90" s="67"/>
      <c r="W90" s="62"/>
      <c r="X90" s="69"/>
      <c r="Y90" s="63" t="s">
        <v>43</v>
      </c>
      <c r="Z90" s="70"/>
      <c r="AA90" s="63" t="s">
        <v>43</v>
      </c>
      <c r="AB90" s="61" t="s">
        <v>43</v>
      </c>
      <c r="AC90" s="68" t="str">
        <f t="shared" ca="1" si="0"/>
        <v>-</v>
      </c>
      <c r="AD90" s="71" t="str">
        <f>CONCATENATE('Seguimiento OIT_Backup'!$U90," ",'Seguimiento OIT_Backup'!$V90)</f>
        <v xml:space="preserve">- </v>
      </c>
      <c r="AE90" s="72" t="str">
        <f t="shared" si="1"/>
        <v>-</v>
      </c>
      <c r="AF90" s="73" t="str">
        <f t="shared" si="2"/>
        <v>-</v>
      </c>
      <c r="AG90" s="63" t="s">
        <v>43</v>
      </c>
      <c r="AH90" s="74"/>
      <c r="AI90" s="74"/>
      <c r="AJ90" s="75" t="str">
        <f>IFERROR(IF(OR(AH90="-",AH90="",AI90="-",AI90=""),"-",CONCATENATE('Seguimiento OIT_Backup'!AI90-'Seguimiento OIT_Backup'!AH90+1," dias")),"-")</f>
        <v>-</v>
      </c>
      <c r="AK90" s="63"/>
      <c r="AL90" s="35"/>
      <c r="AM90" s="35"/>
    </row>
    <row r="91" spans="1:39" ht="43.9" customHeight="1">
      <c r="A91" s="61"/>
      <c r="B91" s="61" t="s">
        <v>43</v>
      </c>
      <c r="C91" s="61" t="s">
        <v>43</v>
      </c>
      <c r="D91" s="62" t="s">
        <v>43</v>
      </c>
      <c r="E91" s="62" t="s">
        <v>43</v>
      </c>
      <c r="F91" s="60"/>
      <c r="G91" s="76" t="s">
        <v>43</v>
      </c>
      <c r="H91" s="60"/>
      <c r="I91" s="62"/>
      <c r="J91" s="62" t="s">
        <v>43</v>
      </c>
      <c r="K91" s="63" t="s">
        <v>43</v>
      </c>
      <c r="L91" s="63" t="s">
        <v>43</v>
      </c>
      <c r="M91" s="63" t="s">
        <v>43</v>
      </c>
      <c r="N91" s="64"/>
      <c r="O91" s="65"/>
      <c r="P91" s="66" t="s">
        <v>43</v>
      </c>
      <c r="Q91" s="67" t="s">
        <v>43</v>
      </c>
      <c r="R91" s="62"/>
      <c r="S91" s="68" t="str">
        <f ca="1">IFERROR(IF(OR(P91="Contratado",P91="No corresponde atención OGTI",P91="Desistido"),"-",IF('Seguimiento OIT_Backup'!$R91="","-",NETWORKDAYS('Seguimiento OIT_Backup'!$R91,TODAY(),{"02/04/2026";"03/04/2026"}))),"-")</f>
        <v>-</v>
      </c>
      <c r="T91" s="68" t="str">
        <f ca="1">IFERROR(IF(OR(D91="-",D91="",P91="Contratado"),"-",TODAY()-'Seguimiento OIT_Backup'!$D91),"-")</f>
        <v>-</v>
      </c>
      <c r="U91" s="69" t="s">
        <v>43</v>
      </c>
      <c r="V91" s="67"/>
      <c r="W91" s="62"/>
      <c r="X91" s="69"/>
      <c r="Y91" s="63" t="s">
        <v>43</v>
      </c>
      <c r="Z91" s="70"/>
      <c r="AA91" s="63" t="s">
        <v>43</v>
      </c>
      <c r="AB91" s="61" t="s">
        <v>43</v>
      </c>
      <c r="AC91" s="68" t="str">
        <f t="shared" ca="1" si="0"/>
        <v>-</v>
      </c>
      <c r="AD91" s="71" t="str">
        <f>CONCATENATE('Seguimiento OIT_Backup'!$U91," ",'Seguimiento OIT_Backup'!$V91)</f>
        <v xml:space="preserve">- </v>
      </c>
      <c r="AE91" s="72" t="str">
        <f t="shared" si="1"/>
        <v>-</v>
      </c>
      <c r="AF91" s="73" t="str">
        <f t="shared" si="2"/>
        <v>-</v>
      </c>
      <c r="AG91" s="63" t="s">
        <v>43</v>
      </c>
      <c r="AH91" s="74"/>
      <c r="AI91" s="74"/>
      <c r="AJ91" s="75" t="str">
        <f>IFERROR(IF(OR(AH91="-",AH91="",AI91="-",AI91=""),"-",CONCATENATE('Seguimiento OIT_Backup'!AI91-'Seguimiento OIT_Backup'!AH91+1," dias")),"-")</f>
        <v>-</v>
      </c>
      <c r="AK91" s="63"/>
      <c r="AL91" s="35"/>
      <c r="AM91" s="35"/>
    </row>
  </sheetData>
  <autoFilter ref="A3:AK3" xr:uid="{4F119EDB-E2CC-4E42-A4EB-DB267B9B28C9}"/>
  <mergeCells count="4">
    <mergeCell ref="A1:AK1"/>
    <mergeCell ref="A2:O2"/>
    <mergeCell ref="P2:AA2"/>
    <mergeCell ref="AB2:AK2"/>
  </mergeCells>
  <conditionalFormatting sqref="A1:A7 A9:A1048576">
    <cfRule type="duplicateValues" dxfId="10" priority="11"/>
  </conditionalFormatting>
  <conditionalFormatting sqref="N4:N91">
    <cfRule type="cellIs" dxfId="9" priority="2" operator="equal">
      <formula>"-"</formula>
    </cfRule>
    <cfRule type="cellIs" dxfId="8" priority="8" operator="notBetween">
      <formula>0</formula>
      <formula>1000000000</formula>
    </cfRule>
  </conditionalFormatting>
  <conditionalFormatting sqref="P4:P91">
    <cfRule type="cellIs" dxfId="7" priority="4" operator="equal">
      <formula>"-"</formula>
    </cfRule>
    <cfRule type="expression" dxfId="6" priority="5">
      <formula>OR(P4="Desistido",P4="No corresponde atención OGTI")</formula>
    </cfRule>
    <cfRule type="cellIs" dxfId="5" priority="7" operator="notEqual">
      <formula>"Contratado"</formula>
    </cfRule>
    <cfRule type="containsText" dxfId="4" priority="10" operator="containsText" text="Contratado">
      <formula>NOT(ISERROR(SEARCH("Contratado",P4)))</formula>
    </cfRule>
  </conditionalFormatting>
  <conditionalFormatting sqref="AB4:AB91">
    <cfRule type="cellIs" dxfId="3" priority="1" operator="equal">
      <formula>"No corresponde atención OGTI"</formula>
    </cfRule>
    <cfRule type="cellIs" dxfId="2" priority="3" operator="equal">
      <formula>"-"</formula>
    </cfRule>
    <cfRule type="cellIs" dxfId="1" priority="6" operator="notEqual">
      <formula>"Ejecutado"</formula>
    </cfRule>
    <cfRule type="containsText" dxfId="0" priority="9" operator="containsText" text="Ejecutado">
      <formula>NOT(ISERROR(SEARCH("Ejecutado",AB4)))</formula>
    </cfRule>
  </conditionalFormatting>
  <dataValidations count="2">
    <dataValidation type="list" allowBlank="1" showInputMessage="1" showErrorMessage="1" sqref="AB4:AB91" xr:uid="{485F8EAD-55D0-449D-85E7-E2F882D540B1}">
      <formula1>"En ejecución,Ejecutado,Paralizado,No corresponde atención OGTI,-"</formula1>
    </dataValidation>
    <dataValidation type="list" allowBlank="1" showInputMessage="1" showErrorMessage="1" sqref="G4:G91" xr:uid="{E4A08619-A6A4-402B-9CA1-F3BC7FC72F71}">
      <formula1>"Bienes,Servicios,Bienes y Servicios,-"</formula1>
    </dataValidation>
  </dataValidations>
  <hyperlinks>
    <hyperlink ref="Z4" r:id="rId1" xr:uid="{807A2D82-D118-43C9-A86D-101F56467973}"/>
    <hyperlink ref="Z5" r:id="rId2" xr:uid="{089AFC2F-585C-4138-948F-78BAFF9F31BD}"/>
    <hyperlink ref="Z6" r:id="rId3" xr:uid="{5015EADA-1E2A-47BD-AD87-2BB3030D9512}"/>
    <hyperlink ref="Z7" r:id="rId4" xr:uid="{2EA9243C-C147-477A-8EF6-69F9BB44FBDF}"/>
    <hyperlink ref="Z8" r:id="rId5" xr:uid="{47C07B34-C092-402F-A783-81E0FE92D216}"/>
    <hyperlink ref="Z9" r:id="rId6" xr:uid="{04135B70-DA6E-4BC5-BF84-6E9A86A43B5E}"/>
    <hyperlink ref="Z10" r:id="rId7" xr:uid="{1BDCC794-5D92-498C-9434-85FA844A2998}"/>
    <hyperlink ref="Z11" r:id="rId8" xr:uid="{1773047A-1B1D-4E73-8384-BCBB8A6E1DDC}"/>
    <hyperlink ref="Z12" r:id="rId9" xr:uid="{F876ED48-1092-4CAB-9C03-B73385128A24}"/>
    <hyperlink ref="Z13" r:id="rId10" xr:uid="{FD730E8D-8FC7-4328-B1EE-DE4D36632B52}"/>
    <hyperlink ref="Z14" r:id="rId11" xr:uid="{48816373-67BC-434F-A2AC-28E5FBA5B87F}"/>
    <hyperlink ref="Z15" r:id="rId12" xr:uid="{B35989B8-4E81-4A99-80DE-0E0B0A5F6CFE}"/>
    <hyperlink ref="Z16" r:id="rId13" xr:uid="{BB6CF3A3-B174-408F-8E60-B00CE00EA2DA}"/>
    <hyperlink ref="Z17" r:id="rId14" xr:uid="{761829F1-401F-4CFF-97D7-ED1E949A5544}"/>
    <hyperlink ref="Z18" r:id="rId15" xr:uid="{8F3D0E90-2930-450D-959F-A2F3FCB1F2E4}"/>
    <hyperlink ref="Z19" r:id="rId16" xr:uid="{71487F6F-483E-4886-9310-1F1ECC997917}"/>
    <hyperlink ref="Z20" r:id="rId17" xr:uid="{36BC4B0C-D9AE-4E1B-8470-27815225FC9A}"/>
    <hyperlink ref="Z21" r:id="rId18" xr:uid="{50EE486A-9852-4F53-8BBF-7CEAA6607F4E}"/>
    <hyperlink ref="Z22" r:id="rId19" xr:uid="{EF1D2488-1C31-4973-A8F2-B3D7F9CED218}"/>
    <hyperlink ref="Z23" r:id="rId20" xr:uid="{32A6F8FA-6DAC-4F88-A394-804AF3594850}"/>
    <hyperlink ref="Z25" r:id="rId21" xr:uid="{86C33D27-4635-495D-B15B-4A327959B2B8}"/>
    <hyperlink ref="Z26" r:id="rId22" xr:uid="{5C365FAB-6DA2-48D0-AEFF-ED729C0DA3D1}"/>
    <hyperlink ref="Z27" r:id="rId23" xr:uid="{AED53E29-55C7-4F5D-8E62-C384F992D9B2}"/>
    <hyperlink ref="Z28" r:id="rId24" xr:uid="{A16E3451-222B-4711-A0CE-87158FD0284B}"/>
    <hyperlink ref="Z29" r:id="rId25" xr:uid="{2DA2A97A-99D9-411E-BC29-50771CC6C402}"/>
    <hyperlink ref="Z30" r:id="rId26" xr:uid="{0F7F7439-4CFA-428E-A316-0EB52F4B1300}"/>
    <hyperlink ref="Z31" r:id="rId27" xr:uid="{EA063FAB-94BE-4F8F-B5DF-C152E782781A}"/>
    <hyperlink ref="Z32" r:id="rId28" xr:uid="{07A01826-75DC-475F-AC93-15D449A60BE1}"/>
    <hyperlink ref="Z34" r:id="rId29" xr:uid="{B00B1866-7A24-436D-9FAF-9C83F273BC3E}"/>
    <hyperlink ref="Z35" r:id="rId30" xr:uid="{FC16757C-FCAA-44FC-BAEC-4E8734984DCE}"/>
    <hyperlink ref="Z37" r:id="rId31" xr:uid="{D519F9E8-0881-47A4-A77A-487C4A2C60D1}"/>
    <hyperlink ref="Z24" r:id="rId32" xr:uid="{E4FC7D45-60C0-45B5-A439-D5FFEE3767A7}"/>
    <hyperlink ref="Z38" r:id="rId33" xr:uid="{6BA48684-08C5-4D89-8E84-AF5E02E520E3}"/>
    <hyperlink ref="Z39" r:id="rId34" xr:uid="{30E23E70-767C-4046-8053-553A20D7706A}"/>
    <hyperlink ref="Z40" r:id="rId35" xr:uid="{B563340D-1E2B-41E1-940D-B2F13BD315E5}"/>
    <hyperlink ref="Z41" r:id="rId36" xr:uid="{FEFA902B-B7FB-4C52-8138-7FD10A67EE10}"/>
    <hyperlink ref="Z33" r:id="rId37" xr:uid="{ADF81817-E467-4635-AF5A-EE6F69C9DC3E}"/>
    <hyperlink ref="Z44" r:id="rId38" xr:uid="{C1970729-E15F-43AC-86A6-BEEAA5202558}"/>
    <hyperlink ref="Z45" r:id="rId39" xr:uid="{50521952-C30B-45C8-A7C4-1B012002E028}"/>
    <hyperlink ref="Z46" r:id="rId40" xr:uid="{21F5B79E-C242-4CFE-B87C-F6B2052E4772}"/>
    <hyperlink ref="Z47" r:id="rId41" xr:uid="{DD185702-F242-4CC1-B98E-F7B1A1206338}"/>
    <hyperlink ref="Z48" r:id="rId42" xr:uid="{D4E5C176-F082-488C-844E-C2FE8BCD973C}"/>
    <hyperlink ref="Z49" r:id="rId43" xr:uid="{FD189128-6B61-4CF5-A75C-21F6680DD9B1}"/>
    <hyperlink ref="Z50" r:id="rId44" xr:uid="{5A7F9C95-B689-4757-B13E-51E1D9FDAE60}"/>
    <hyperlink ref="Z51" r:id="rId45" xr:uid="{E2312EB9-66D2-4E15-931A-EC924FB5B03E}"/>
    <hyperlink ref="Z52" r:id="rId46" xr:uid="{210FBE5F-A6EC-40A4-ABA8-07C7EBFEE05E}"/>
  </hyperlinks>
  <pageMargins left="0.7" right="0.7" top="0.75" bottom="0.75" header="0.3" footer="0.3"/>
  <pageSetup paperSize="9" orientation="portrait" r:id="rId47"/>
  <legacyDrawing r:id="rId48"/>
  <extLst>
    <ext xmlns:x14="http://schemas.microsoft.com/office/spreadsheetml/2009/9/main" uri="{CCE6A557-97BC-4b89-ADB6-D9C93CAAB3DF}">
      <x14:dataValidations xmlns:xm="http://schemas.microsoft.com/office/excel/2006/main" count="9">
        <x14:dataValidation type="list" allowBlank="1" showInputMessage="1" showErrorMessage="1" xr:uid="{1C94572F-65FB-47F9-92E2-65D508544EB0}">
          <x14:formula1>
            <xm:f>Catalogo!$U$1:$U$100</xm:f>
          </x14:formula1>
          <xm:sqref>AA4:AA91</xm:sqref>
        </x14:dataValidation>
        <x14:dataValidation type="list" allowBlank="1" showInputMessage="1" showErrorMessage="1" xr:uid="{2714649F-3D99-4212-A848-0DDC2BD6F34E}">
          <x14:formula1>
            <xm:f>Catalogo!$S$2:$S$101</xm:f>
          </x14:formula1>
          <xm:sqref>U4:U91</xm:sqref>
        </x14:dataValidation>
        <x14:dataValidation type="list" allowBlank="1" showInputMessage="1" showErrorMessage="1" xr:uid="{9674B92F-EE51-43FD-8B35-0539962E6309}">
          <x14:formula1>
            <xm:f>Catalogo!$P$2:$P$101</xm:f>
          </x14:formula1>
          <xm:sqref>Q4:Q91</xm:sqref>
        </x14:dataValidation>
        <x14:dataValidation type="list" allowBlank="1" showInputMessage="1" showErrorMessage="1" xr:uid="{F17785A4-766E-41FB-B33F-AEB579C6EAEA}">
          <x14:formula1>
            <xm:f>Catalogo!$M$2:$M$101</xm:f>
          </x14:formula1>
          <xm:sqref>P4:P91</xm:sqref>
        </x14:dataValidation>
        <x14:dataValidation type="list" allowBlank="1" showInputMessage="1" showErrorMessage="1" xr:uid="{A088130A-FF71-46DB-84BE-BD3A5465B959}">
          <x14:formula1>
            <xm:f>Catalogo!$H$2:$H$101</xm:f>
          </x14:formula1>
          <xm:sqref>C4:C91</xm:sqref>
        </x14:dataValidation>
        <x14:dataValidation type="list" allowBlank="1" showInputMessage="1" showErrorMessage="1" xr:uid="{64866634-4120-4104-9F96-9CA14F9B1506}">
          <x14:formula1>
            <xm:f>Catalogo!$E$2:$E$100</xm:f>
          </x14:formula1>
          <xm:sqref>B4:B91</xm:sqref>
        </x14:dataValidation>
        <x14:dataValidation type="list" allowBlank="1" showInputMessage="1" showErrorMessage="1" xr:uid="{FBB813E5-675A-47E8-87A2-CEA006EC3CAA}">
          <x14:formula1>
            <xm:f>Catalogo!$C$2:$C$100</xm:f>
          </x14:formula1>
          <xm:sqref>J4:J91</xm:sqref>
        </x14:dataValidation>
        <x14:dataValidation type="list" allowBlank="1" showInputMessage="1" showErrorMessage="1" xr:uid="{32B9F39D-A914-48E6-8FF2-0352F5C73228}">
          <x14:formula1>
            <xm:f>Catalogo!$A$2:$A$100</xm:f>
          </x14:formula1>
          <xm:sqref>AG4:AG24 AG26 AG28:AG91 K4:L91</xm:sqref>
        </x14:dataValidation>
        <x14:dataValidation type="list" allowBlank="1" showInputMessage="1" showErrorMessage="1" xr:uid="{AD9DBD34-6F6B-428F-BE5B-1138F6472D95}">
          <x14:formula1>
            <xm:f>Catalogo!$K$2:$K$100</xm:f>
          </x14:formula1>
          <xm:sqref>M4:M91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5590A-1D01-4759-89F1-48F422450C27}">
  <sheetPr>
    <tabColor rgb="FFFF0000"/>
  </sheetPr>
  <dimension ref="A1:W39"/>
  <sheetViews>
    <sheetView topLeftCell="F6" zoomScale="90" zoomScaleNormal="90" workbookViewId="0">
      <selection activeCell="N23" sqref="N23"/>
    </sheetView>
  </sheetViews>
  <sheetFormatPr baseColWidth="10" defaultColWidth="11.5703125" defaultRowHeight="15"/>
  <cols>
    <col min="1" max="1" width="30.28515625" style="39" customWidth="1"/>
    <col min="2" max="2" width="11.5703125" style="36"/>
    <col min="3" max="3" width="30.28515625" style="39" customWidth="1"/>
    <col min="4" max="4" width="11.5703125" style="36"/>
    <col min="5" max="5" width="30.28515625" style="39" customWidth="1"/>
    <col min="6" max="6" width="21.28515625" style="39" customWidth="1"/>
    <col min="7" max="7" width="11.5703125" style="36"/>
    <col min="8" max="8" width="20" style="39" customWidth="1"/>
    <col min="9" max="9" width="30.28515625" style="39" customWidth="1"/>
    <col min="10" max="10" width="11.5703125" style="36"/>
    <col min="11" max="11" width="35.42578125" style="36" customWidth="1"/>
    <col min="12" max="12" width="11.5703125" style="36"/>
    <col min="13" max="13" width="24.7109375" style="48" customWidth="1"/>
    <col min="14" max="14" width="33.7109375" style="36" customWidth="1"/>
    <col min="15" max="15" width="11.5703125" style="36"/>
    <col min="16" max="16" width="24.7109375" style="48" customWidth="1"/>
    <col min="17" max="17" width="33.7109375" style="36" customWidth="1"/>
    <col min="18" max="18" width="11.5703125" style="36"/>
    <col min="19" max="19" width="24.7109375" style="48" customWidth="1"/>
    <col min="20" max="20" width="11.5703125" style="36"/>
    <col min="21" max="21" width="24.7109375" style="48" customWidth="1"/>
    <col min="22" max="22" width="11.5703125" style="36"/>
    <col min="23" max="23" width="24.7109375" style="48" customWidth="1"/>
    <col min="24" max="16384" width="11.5703125" style="36"/>
  </cols>
  <sheetData>
    <row r="1" spans="1:23">
      <c r="A1" s="38" t="s">
        <v>16</v>
      </c>
      <c r="C1" s="38" t="s">
        <v>1014</v>
      </c>
      <c r="E1" s="38" t="s">
        <v>1209</v>
      </c>
      <c r="F1" s="38" t="s">
        <v>1210</v>
      </c>
      <c r="H1" s="38" t="s">
        <v>9</v>
      </c>
      <c r="I1" s="38" t="s">
        <v>1211</v>
      </c>
      <c r="K1" s="38" t="s">
        <v>1212</v>
      </c>
      <c r="M1" s="38" t="s">
        <v>1015</v>
      </c>
      <c r="N1" s="46" t="s">
        <v>1211</v>
      </c>
      <c r="P1" s="38" t="s">
        <v>1213</v>
      </c>
      <c r="Q1" s="46" t="s">
        <v>1211</v>
      </c>
      <c r="S1" s="38" t="s">
        <v>1214</v>
      </c>
      <c r="U1" s="38" t="s">
        <v>1136</v>
      </c>
      <c r="W1" s="38" t="s">
        <v>1215</v>
      </c>
    </row>
    <row r="2" spans="1:23" s="41" customFormat="1" ht="24" customHeight="1">
      <c r="A2" s="42" t="s">
        <v>43</v>
      </c>
      <c r="C2" s="42" t="s">
        <v>43</v>
      </c>
      <c r="E2" s="42" t="s">
        <v>43</v>
      </c>
      <c r="F2" s="42" t="s">
        <v>43</v>
      </c>
      <c r="H2" s="42" t="s">
        <v>43</v>
      </c>
      <c r="I2" s="42" t="s">
        <v>43</v>
      </c>
      <c r="K2" s="42" t="s">
        <v>43</v>
      </c>
      <c r="M2" s="42" t="s">
        <v>43</v>
      </c>
      <c r="N2" s="42" t="s">
        <v>43</v>
      </c>
      <c r="P2" s="42" t="s">
        <v>43</v>
      </c>
      <c r="Q2" s="42" t="s">
        <v>43</v>
      </c>
      <c r="S2" s="42" t="s">
        <v>43</v>
      </c>
      <c r="U2" s="42" t="s">
        <v>43</v>
      </c>
      <c r="W2" s="42" t="s">
        <v>1028</v>
      </c>
    </row>
    <row r="3" spans="1:23" s="41" customFormat="1" ht="24" customHeight="1">
      <c r="A3" s="42" t="s">
        <v>120</v>
      </c>
      <c r="C3" s="42" t="s">
        <v>370</v>
      </c>
      <c r="E3" s="42" t="s">
        <v>45</v>
      </c>
      <c r="F3" s="42"/>
      <c r="H3" s="42" t="s">
        <v>61</v>
      </c>
      <c r="I3" s="42" t="s">
        <v>1216</v>
      </c>
      <c r="K3" s="44" t="s">
        <v>1217</v>
      </c>
      <c r="M3" s="42" t="s">
        <v>552</v>
      </c>
      <c r="N3" s="42" t="s">
        <v>1218</v>
      </c>
      <c r="P3" s="42" t="s">
        <v>423</v>
      </c>
      <c r="Q3" s="42" t="s">
        <v>1219</v>
      </c>
      <c r="S3" s="42" t="s">
        <v>77</v>
      </c>
      <c r="U3" s="42" t="s">
        <v>1220</v>
      </c>
      <c r="W3" s="42" t="s">
        <v>1221</v>
      </c>
    </row>
    <row r="4" spans="1:23" s="41" customFormat="1" ht="24" customHeight="1">
      <c r="A4" s="42" t="s">
        <v>626</v>
      </c>
      <c r="C4" s="42" t="s">
        <v>625</v>
      </c>
      <c r="E4" s="42" t="s">
        <v>349</v>
      </c>
      <c r="F4" s="42"/>
      <c r="H4" s="42" t="s">
        <v>46</v>
      </c>
      <c r="I4" s="42" t="s">
        <v>1222</v>
      </c>
      <c r="K4" s="44" t="s">
        <v>53</v>
      </c>
      <c r="M4" s="42" t="s">
        <v>1223</v>
      </c>
      <c r="N4" s="42" t="s">
        <v>1224</v>
      </c>
      <c r="P4" s="42" t="s">
        <v>579</v>
      </c>
      <c r="Q4" s="42" t="s">
        <v>1225</v>
      </c>
      <c r="S4" s="42" t="s">
        <v>55</v>
      </c>
      <c r="U4" s="42" t="s">
        <v>1226</v>
      </c>
      <c r="W4" s="42"/>
    </row>
    <row r="5" spans="1:23" s="41" customFormat="1" ht="24" customHeight="1">
      <c r="A5" s="42" t="s">
        <v>223</v>
      </c>
      <c r="C5" s="42" t="s">
        <v>1227</v>
      </c>
      <c r="E5" s="42" t="s">
        <v>1228</v>
      </c>
      <c r="F5" s="42"/>
      <c r="H5" s="42" t="s">
        <v>1229</v>
      </c>
      <c r="I5" s="42" t="s">
        <v>1230</v>
      </c>
      <c r="K5" s="44" t="s">
        <v>1231</v>
      </c>
      <c r="M5" s="45" t="s">
        <v>281</v>
      </c>
      <c r="N5" s="44" t="s">
        <v>1232</v>
      </c>
      <c r="P5" s="42" t="s">
        <v>1233</v>
      </c>
      <c r="Q5" s="44" t="s">
        <v>1234</v>
      </c>
      <c r="S5" s="42" t="s">
        <v>224</v>
      </c>
      <c r="U5" s="42" t="s">
        <v>1235</v>
      </c>
      <c r="W5" s="42"/>
    </row>
    <row r="6" spans="1:23" s="41" customFormat="1" ht="24" customHeight="1">
      <c r="A6" s="42" t="s">
        <v>74</v>
      </c>
      <c r="C6" s="42" t="s">
        <v>222</v>
      </c>
      <c r="E6" s="42"/>
      <c r="F6" s="42"/>
      <c r="H6" s="42" t="s">
        <v>433</v>
      </c>
      <c r="I6" s="42" t="s">
        <v>1236</v>
      </c>
      <c r="K6" s="44" t="s">
        <v>1237</v>
      </c>
      <c r="M6" s="45" t="s">
        <v>1238</v>
      </c>
      <c r="N6" s="44" t="s">
        <v>1239</v>
      </c>
      <c r="P6" s="42" t="s">
        <v>1240</v>
      </c>
      <c r="Q6" s="44" t="s">
        <v>43</v>
      </c>
      <c r="S6" s="42" t="s">
        <v>1229</v>
      </c>
      <c r="U6" s="42"/>
      <c r="W6" s="42"/>
    </row>
    <row r="7" spans="1:23" s="41" customFormat="1" ht="24" customHeight="1">
      <c r="A7" s="42" t="s">
        <v>371</v>
      </c>
      <c r="C7" s="42" t="s">
        <v>51</v>
      </c>
      <c r="E7" s="42"/>
      <c r="F7" s="42"/>
      <c r="H7" s="42" t="s">
        <v>228</v>
      </c>
      <c r="I7" s="42" t="s">
        <v>1241</v>
      </c>
      <c r="K7" s="44" t="s">
        <v>205</v>
      </c>
      <c r="M7" s="45" t="s">
        <v>430</v>
      </c>
      <c r="N7" s="44" t="s">
        <v>1242</v>
      </c>
      <c r="P7" s="42" t="s">
        <v>482</v>
      </c>
      <c r="Q7" s="44" t="s">
        <v>43</v>
      </c>
      <c r="S7" s="42" t="s">
        <v>438</v>
      </c>
      <c r="U7" s="42"/>
      <c r="W7" s="42"/>
    </row>
    <row r="8" spans="1:23" ht="24" customHeight="1">
      <c r="A8" s="42" t="s">
        <v>52</v>
      </c>
      <c r="C8" s="42" t="s">
        <v>73</v>
      </c>
      <c r="H8" s="42"/>
      <c r="I8" s="42"/>
      <c r="K8" s="44" t="s">
        <v>1243</v>
      </c>
      <c r="M8" s="45" t="s">
        <v>1244</v>
      </c>
      <c r="N8" s="44" t="s">
        <v>1245</v>
      </c>
      <c r="P8" s="42" t="s">
        <v>1246</v>
      </c>
      <c r="Q8" s="44" t="s">
        <v>43</v>
      </c>
      <c r="S8" s="42" t="s">
        <v>197</v>
      </c>
      <c r="U8" s="42"/>
      <c r="W8" s="42"/>
    </row>
    <row r="9" spans="1:23" ht="24" customHeight="1">
      <c r="A9" s="42" t="s">
        <v>75</v>
      </c>
      <c r="C9" s="42" t="s">
        <v>119</v>
      </c>
      <c r="H9" s="42"/>
      <c r="I9" s="42"/>
      <c r="K9" s="44" t="s">
        <v>1247</v>
      </c>
      <c r="M9" s="45" t="s">
        <v>422</v>
      </c>
      <c r="N9" s="44" t="s">
        <v>1248</v>
      </c>
      <c r="P9" s="42" t="s">
        <v>289</v>
      </c>
      <c r="Q9" s="44" t="s">
        <v>43</v>
      </c>
      <c r="S9" s="42"/>
      <c r="U9" s="42"/>
      <c r="W9" s="42"/>
    </row>
    <row r="10" spans="1:23" ht="24" customHeight="1">
      <c r="A10" s="42" t="s">
        <v>372</v>
      </c>
      <c r="K10" s="44" t="s">
        <v>1249</v>
      </c>
      <c r="M10" s="45" t="s">
        <v>1250</v>
      </c>
      <c r="N10" s="44" t="s">
        <v>1251</v>
      </c>
      <c r="P10" s="42" t="s">
        <v>327</v>
      </c>
      <c r="Q10" s="44" t="s">
        <v>43</v>
      </c>
      <c r="S10" s="42"/>
      <c r="U10" s="42"/>
      <c r="W10" s="42"/>
    </row>
    <row r="11" spans="1:23" ht="24" customHeight="1">
      <c r="A11" s="42" t="s">
        <v>601</v>
      </c>
      <c r="K11" s="44" t="s">
        <v>102</v>
      </c>
      <c r="M11" s="45" t="s">
        <v>774</v>
      </c>
      <c r="N11" s="44" t="s">
        <v>1252</v>
      </c>
      <c r="P11" s="45" t="s">
        <v>270</v>
      </c>
      <c r="Q11" s="44" t="s">
        <v>43</v>
      </c>
      <c r="S11" s="45"/>
      <c r="U11" s="45"/>
      <c r="W11" s="45"/>
    </row>
    <row r="12" spans="1:23" ht="24" customHeight="1">
      <c r="A12" s="42" t="s">
        <v>594</v>
      </c>
      <c r="K12" s="44" t="s">
        <v>1253</v>
      </c>
      <c r="M12" s="45" t="s">
        <v>882</v>
      </c>
      <c r="N12" s="44" t="s">
        <v>1254</v>
      </c>
      <c r="P12" s="45" t="s">
        <v>1016</v>
      </c>
      <c r="Q12" s="44" t="s">
        <v>43</v>
      </c>
      <c r="S12" s="45"/>
      <c r="U12" s="45"/>
      <c r="W12" s="45"/>
    </row>
    <row r="13" spans="1:23" ht="24" customHeight="1">
      <c r="A13" s="42" t="s">
        <v>792</v>
      </c>
      <c r="K13" s="44" t="s">
        <v>1255</v>
      </c>
      <c r="M13" s="45" t="s">
        <v>1017</v>
      </c>
      <c r="N13" s="44" t="s">
        <v>1256</v>
      </c>
      <c r="P13" s="45" t="s">
        <v>470</v>
      </c>
      <c r="Q13" s="44" t="s">
        <v>43</v>
      </c>
      <c r="S13" s="45"/>
      <c r="U13" s="45"/>
      <c r="W13" s="45"/>
    </row>
    <row r="14" spans="1:23" ht="24" customHeight="1">
      <c r="A14" s="42" t="s">
        <v>684</v>
      </c>
      <c r="K14" s="44" t="s">
        <v>1257</v>
      </c>
      <c r="M14" s="45" t="s">
        <v>314</v>
      </c>
      <c r="N14" s="44" t="s">
        <v>1258</v>
      </c>
      <c r="P14" s="45" t="s">
        <v>929</v>
      </c>
      <c r="Q14" s="44"/>
      <c r="S14" s="45"/>
      <c r="U14" s="45"/>
      <c r="W14" s="45"/>
    </row>
    <row r="15" spans="1:23" ht="24" customHeight="1">
      <c r="A15" s="42" t="s">
        <v>526</v>
      </c>
      <c r="K15" s="44" t="s">
        <v>110</v>
      </c>
      <c r="M15" s="45" t="s">
        <v>262</v>
      </c>
      <c r="N15" s="44" t="s">
        <v>1259</v>
      </c>
      <c r="P15" s="45"/>
      <c r="Q15" s="44"/>
      <c r="S15" s="45"/>
      <c r="U15" s="45"/>
      <c r="W15" s="45"/>
    </row>
    <row r="16" spans="1:23" ht="24" customHeight="1">
      <c r="A16" s="42" t="s">
        <v>525</v>
      </c>
      <c r="K16" s="44" t="s">
        <v>1260</v>
      </c>
      <c r="M16" s="45" t="s">
        <v>560</v>
      </c>
      <c r="N16" s="44" t="s">
        <v>1261</v>
      </c>
      <c r="P16" s="45"/>
      <c r="Q16" s="44"/>
      <c r="S16" s="45"/>
      <c r="U16" s="45"/>
      <c r="W16" s="45"/>
    </row>
    <row r="17" spans="1:23" ht="24" customHeight="1">
      <c r="A17" s="42" t="s">
        <v>559</v>
      </c>
      <c r="K17" s="44" t="s">
        <v>1262</v>
      </c>
      <c r="M17" s="45" t="s">
        <v>815</v>
      </c>
      <c r="N17" s="44" t="s">
        <v>1263</v>
      </c>
      <c r="P17" s="45"/>
      <c r="Q17" s="44"/>
      <c r="S17" s="45"/>
      <c r="U17" s="45"/>
      <c r="W17" s="45"/>
    </row>
    <row r="18" spans="1:23" ht="24" customHeight="1">
      <c r="A18" s="42" t="s">
        <v>573</v>
      </c>
      <c r="K18" s="44" t="s">
        <v>616</v>
      </c>
      <c r="M18" s="45" t="s">
        <v>54</v>
      </c>
      <c r="N18" s="44" t="s">
        <v>1264</v>
      </c>
      <c r="P18" s="45"/>
      <c r="Q18" s="44"/>
      <c r="S18" s="45"/>
      <c r="U18" s="45"/>
      <c r="W18" s="45"/>
    </row>
    <row r="19" spans="1:23" ht="24" customHeight="1">
      <c r="A19" s="42" t="s">
        <v>806</v>
      </c>
      <c r="K19" s="44" t="s">
        <v>94</v>
      </c>
      <c r="M19" s="45" t="s">
        <v>1265</v>
      </c>
      <c r="N19" s="44" t="s">
        <v>1266</v>
      </c>
      <c r="P19" s="45"/>
      <c r="Q19" s="44"/>
      <c r="S19" s="45"/>
      <c r="U19" s="45"/>
      <c r="W19" s="45"/>
    </row>
    <row r="20" spans="1:23" ht="24" customHeight="1">
      <c r="A20" s="42" t="s">
        <v>456</v>
      </c>
      <c r="K20" s="44" t="s">
        <v>1267</v>
      </c>
      <c r="M20" s="45" t="s">
        <v>824</v>
      </c>
      <c r="N20" s="44" t="s">
        <v>1268</v>
      </c>
      <c r="P20" s="45"/>
      <c r="Q20" s="44"/>
      <c r="S20" s="45"/>
      <c r="U20" s="45"/>
      <c r="W20" s="45"/>
    </row>
    <row r="21" spans="1:23" ht="24" customHeight="1">
      <c r="A21" s="42" t="s">
        <v>928</v>
      </c>
      <c r="K21" s="44" t="s">
        <v>404</v>
      </c>
      <c r="M21" s="45" t="s">
        <v>269</v>
      </c>
      <c r="N21" s="44" t="s">
        <v>1269</v>
      </c>
      <c r="P21" s="45"/>
      <c r="Q21" s="44"/>
      <c r="S21" s="45"/>
      <c r="U21" s="45"/>
      <c r="W21" s="45"/>
    </row>
    <row r="22" spans="1:23" ht="24" customHeight="1">
      <c r="K22" s="44" t="s">
        <v>1270</v>
      </c>
      <c r="M22" s="45" t="s">
        <v>288</v>
      </c>
      <c r="N22" s="44" t="s">
        <v>1271</v>
      </c>
      <c r="P22" s="45"/>
      <c r="Q22" s="44"/>
      <c r="S22" s="45"/>
      <c r="U22" s="45"/>
      <c r="W22" s="45"/>
    </row>
    <row r="23" spans="1:23" ht="24" customHeight="1">
      <c r="K23" s="44" t="s">
        <v>76</v>
      </c>
      <c r="M23" s="45" t="s">
        <v>306</v>
      </c>
      <c r="N23" s="44" t="s">
        <v>1263</v>
      </c>
      <c r="P23" s="45"/>
      <c r="Q23" s="44"/>
      <c r="S23" s="45"/>
      <c r="U23" s="45"/>
      <c r="W23" s="45"/>
    </row>
    <row r="24" spans="1:23" ht="24" customHeight="1">
      <c r="K24" s="44" t="s">
        <v>391</v>
      </c>
      <c r="M24" s="45" t="s">
        <v>476</v>
      </c>
      <c r="N24" s="44"/>
      <c r="P24" s="45"/>
      <c r="Q24" s="44"/>
      <c r="S24" s="45"/>
      <c r="U24" s="45"/>
      <c r="W24" s="45"/>
    </row>
    <row r="25" spans="1:23" ht="24" customHeight="1">
      <c r="K25" s="44" t="s">
        <v>1272</v>
      </c>
      <c r="M25" s="45"/>
      <c r="N25" s="44"/>
      <c r="P25" s="45"/>
      <c r="Q25" s="44"/>
      <c r="S25" s="45"/>
      <c r="U25" s="45"/>
      <c r="W25" s="45"/>
    </row>
    <row r="26" spans="1:23" ht="24" customHeight="1">
      <c r="K26" s="44" t="s">
        <v>1273</v>
      </c>
      <c r="M26" s="45"/>
      <c r="N26" s="44"/>
      <c r="P26" s="45"/>
      <c r="Q26" s="44"/>
      <c r="S26" s="45"/>
      <c r="U26" s="45"/>
      <c r="W26" s="45"/>
    </row>
    <row r="27" spans="1:23" ht="24" customHeight="1">
      <c r="K27" s="44" t="s">
        <v>261</v>
      </c>
      <c r="M27" s="45"/>
      <c r="N27" s="44"/>
      <c r="P27" s="45"/>
      <c r="Q27" s="44"/>
      <c r="S27" s="45"/>
      <c r="U27" s="45"/>
      <c r="W27" s="45"/>
    </row>
    <row r="28" spans="1:23" ht="24" customHeight="1">
      <c r="K28" s="44" t="s">
        <v>1274</v>
      </c>
      <c r="M28" s="45"/>
      <c r="N28" s="44"/>
      <c r="P28" s="45"/>
      <c r="Q28" s="44"/>
      <c r="S28" s="45"/>
      <c r="U28" s="45"/>
      <c r="W28" s="45"/>
    </row>
    <row r="29" spans="1:23" ht="24" customHeight="1">
      <c r="K29" s="44" t="s">
        <v>1275</v>
      </c>
      <c r="M29" s="45"/>
      <c r="N29" s="44"/>
      <c r="P29" s="45"/>
      <c r="Q29" s="44"/>
      <c r="S29" s="45"/>
      <c r="U29" s="45"/>
      <c r="W29" s="45"/>
    </row>
    <row r="30" spans="1:23" ht="25.5">
      <c r="K30" s="44" t="s">
        <v>121</v>
      </c>
    </row>
    <row r="31" spans="1:23">
      <c r="K31" s="44" t="s">
        <v>130</v>
      </c>
    </row>
    <row r="32" spans="1:23">
      <c r="K32" s="44" t="s">
        <v>196</v>
      </c>
      <c r="M32" s="47"/>
      <c r="N32" s="1"/>
      <c r="P32" s="47"/>
      <c r="Q32" s="1"/>
      <c r="S32" s="47"/>
      <c r="U32" s="47"/>
      <c r="W32" s="47"/>
    </row>
    <row r="33" spans="11:23">
      <c r="K33" s="44" t="s">
        <v>527</v>
      </c>
      <c r="M33" s="47"/>
      <c r="N33" s="1"/>
      <c r="P33" s="47"/>
      <c r="Q33" s="1"/>
      <c r="S33" s="47"/>
      <c r="U33" s="47"/>
      <c r="W33" s="47"/>
    </row>
    <row r="34" spans="11:23">
      <c r="K34" s="44" t="s">
        <v>137</v>
      </c>
    </row>
    <row r="35" spans="11:23">
      <c r="K35" s="44" t="s">
        <v>154</v>
      </c>
    </row>
    <row r="36" spans="11:23" ht="25.5">
      <c r="K36" s="44" t="s">
        <v>170</v>
      </c>
    </row>
    <row r="37" spans="11:23">
      <c r="K37" s="44" t="s">
        <v>326</v>
      </c>
    </row>
    <row r="38" spans="11:23">
      <c r="K38" s="44" t="s">
        <v>437</v>
      </c>
    </row>
    <row r="39" spans="11:23" ht="25.5">
      <c r="K39" s="44" t="s">
        <v>875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E1B9220A48D40469A832559DA712F38" ma:contentTypeVersion="12" ma:contentTypeDescription="Create a new document." ma:contentTypeScope="" ma:versionID="159b5fd656371a1018530a951ad9ed4d">
  <xsd:schema xmlns:xsd="http://www.w3.org/2001/XMLSchema" xmlns:xs="http://www.w3.org/2001/XMLSchema" xmlns:p="http://schemas.microsoft.com/office/2006/metadata/properties" xmlns:ns2="d97219a7-db29-4b9f-b6dd-e47b60f3f29a" xmlns:ns3="31d45891-4172-4c4e-8b0b-689ed7ac9ede" targetNamespace="http://schemas.microsoft.com/office/2006/metadata/properties" ma:root="true" ma:fieldsID="c19b3baf8a09dfb85ea74668d3895958" ns2:_="" ns3:_="">
    <xsd:import namespace="d97219a7-db29-4b9f-b6dd-e47b60f3f29a"/>
    <xsd:import namespace="31d45891-4172-4c4e-8b0b-689ed7ac9e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7219a7-db29-4b9f-b6dd-e47b60f3f2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68abc72-c989-4c94-afdf-a4df2392783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1d45891-4172-4c4e-8b0b-689ed7ac9ed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b3c62e9-1ac6-456f-988e-04d301520433}" ma:internalName="TaxCatchAll" ma:showField="CatchAllData" ma:web="31d45891-4172-4c4e-8b0b-689ed7ac9ed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97219a7-db29-4b9f-b6dd-e47b60f3f29a">
      <Terms xmlns="http://schemas.microsoft.com/office/infopath/2007/PartnerControls"/>
    </lcf76f155ced4ddcb4097134ff3c332f>
    <TaxCatchAll xmlns="31d45891-4172-4c4e-8b0b-689ed7ac9ede" xsi:nil="true"/>
  </documentManagement>
</p:properties>
</file>

<file path=customXml/itemProps1.xml><?xml version="1.0" encoding="utf-8"?>
<ds:datastoreItem xmlns:ds="http://schemas.openxmlformats.org/officeDocument/2006/customXml" ds:itemID="{9490D3D1-687F-48A3-8742-B0D730C90D17}">
  <ds:schemaRefs>
    <ds:schemaRef ds:uri="http://schemas.microsoft.com/sharepoint/v3/contenttype/forms"/>
  </ds:schemaRefs>
</ds:datastoreItem>
</file>

<file path=customXml/itemProps2.xml><?xml version="1.0" encoding="utf-8"?>
<ds:datastoreItem xmlns:ds="http://schemas.openxmlformats.org/officeDocument/2006/customXml" ds:itemID="{F72BE7A8-975D-49F4-AD89-2F0316262C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7219a7-db29-4b9f-b6dd-e47b60f3f29a"/>
    <ds:schemaRef ds:uri="31d45891-4172-4c4e-8b0b-689ed7ac9e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18615E0-63A8-405A-8B5E-568ECAFB005D}">
  <ds:schemaRefs>
    <ds:schemaRef ds:uri="http://schemas.microsoft.com/office/infopath/2007/PartnerControls"/>
    <ds:schemaRef ds:uri="d97219a7-db29-4b9f-b6dd-e47b60f3f29a"/>
    <ds:schemaRef ds:uri="31d45891-4172-4c4e-8b0b-689ed7ac9ede"/>
    <ds:schemaRef ds:uri="http://schemas.microsoft.com/office/2006/documentManagement/types"/>
    <ds:schemaRef ds:uri="http://schemas.microsoft.com/office/2006/metadata/properties"/>
    <ds:schemaRef ds:uri="http://schemas.openxmlformats.org/package/2006/metadata/core-properties"/>
    <ds:schemaRef ds:uri="http://purl.org/dc/dcmitype/"/>
    <ds:schemaRef ds:uri="http://purl.org/dc/elements/1.1/"/>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Seguimiento OIT</vt:lpstr>
      <vt:lpstr>Control</vt:lpstr>
      <vt:lpstr>CONTRATOS Y OS VIGENTES</vt:lpstr>
      <vt:lpstr>Info Jose</vt:lpstr>
      <vt:lpstr>Seguimiento OIT_Backup</vt:lpstr>
      <vt:lpstr>Catalogo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Consultor OGTI 207</dc:creator>
  <cp:keywords/>
  <dc:description/>
  <cp:lastModifiedBy>Consultor OGTI 216 (Zapata Ross, Camila María Paz)</cp:lastModifiedBy>
  <cp:revision/>
  <dcterms:created xsi:type="dcterms:W3CDTF">2026-05-18T16:50:20Z</dcterms:created>
  <dcterms:modified xsi:type="dcterms:W3CDTF">2026-07-31T13:49:53Z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0x0101002E1B9220A48D40469A832559DA712F38</vt:lpwstr>
  </property>
  <property fmtid="{D5CDD505-2E9C-101B-9397-08002B2CF9AE}" pid="3" name="MediaServiceImageTags">
    <vt:lpwstr/>
  </property>
</Properties>
</file>